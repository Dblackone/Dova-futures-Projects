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id Tab" sheetId="2" state="visible" r:id="rId4"/>
    <sheet name="Unit Rates" sheetId="3" state="visible" r:id="rId5"/>
    <sheet name="Normalisation" sheetId="4" state="visible" r:id="rId6"/>
    <sheet name="Compliance" sheetId="5" state="visible" r:id="rId7"/>
    <sheet name="Notes &amp; Sour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<sst xmlns="http://schemas.openxmlformats.org/spreadsheetml/2006/main" count="311" uniqueCount="209">
  <si>
    <t xml:space="preserve">IKEJA CITY MALL - FIRE DETECTION &amp; ALARM SYSTEM OVERHAUL</t>
  </si>
  <si>
    <t xml:space="preserve">Bid comparison summary - 5 quotations against the client's RFP. All figures NGN.</t>
  </si>
  <si>
    <t xml:space="preserve">Displayed to the nearest naira; underlying values are exact to the kobo. Blue = source figure, black = formula.</t>
  </si>
  <si>
    <t xml:space="preserve">TotaGO</t>
  </si>
  <si>
    <t xml:space="preserve">Emo-Technical</t>
  </si>
  <si>
    <t xml:space="preserve">Potreal (PISL)</t>
  </si>
  <si>
    <t xml:space="preserve">JML / Fadayomi</t>
  </si>
  <si>
    <t xml:space="preserve">Roundbox</t>
  </si>
  <si>
    <t xml:space="preserve">Source document</t>
  </si>
  <si>
    <t xml:space="preserve">ikeja city mall Fire Alarm Deployment.pdf</t>
  </si>
  <si>
    <t xml:space="preserve">Bill for ikeja mall fire system.pdf</t>
  </si>
  <si>
    <t xml:space="preserve">ICM ADDRESSABLE FIRE ALARM UPGRADE.pdf</t>
  </si>
  <si>
    <t xml:space="preserve">ICM SYSTEM REVAMP PROPOSAL(3).PDF</t>
  </si>
  <si>
    <t xml:space="preserve">IKEJA CITY MALL FIRE ALARM SYSTEM.pdf</t>
  </si>
  <si>
    <t xml:space="preserve">Quote date</t>
  </si>
  <si>
    <t xml:space="preserve">Equipment offered</t>
  </si>
  <si>
    <t xml:space="preserve">GENT</t>
  </si>
  <si>
    <t xml:space="preserve">TANDA (substituted)</t>
  </si>
  <si>
    <t xml:space="preserve">Subtotal ex VAT, as quoted</t>
  </si>
  <si>
    <t xml:space="preserve">VAT</t>
  </si>
  <si>
    <t xml:space="preserve">TOTAL AS QUOTED</t>
  </si>
  <si>
    <t xml:space="preserve">Normalisation adjustments</t>
  </si>
  <si>
    <t xml:space="preserve">ADJUSTED TOTAL (like-for-like, incl. VAT)</t>
  </si>
  <si>
    <t xml:space="preserve">Rank (compliant bids only)</t>
  </si>
  <si>
    <t xml:space="preserve">n/a</t>
  </si>
  <si>
    <t xml:space="preserve">Premium vs lowest compliant bid</t>
  </si>
  <si>
    <t xml:space="preserve">Quote still valid at 31-Jul-2026</t>
  </si>
  <si>
    <t xml:space="preserve">Assessment</t>
  </si>
  <si>
    <t xml:space="preserve">Compliant but most expensive, arithmetically unsound, and long expired.</t>
  </si>
  <si>
    <t xml:space="preserve">Compliant, arithmetically clean, and the only bid answering every commercial question the RFP asked.</t>
  </si>
  <si>
    <t xml:space="preserve">Compliant and mid-priced; commercial terms absent from the quotation.</t>
  </si>
  <si>
    <t xml:space="preserve">Cheapest compliant bid, but one panel short and terms absent.</t>
  </si>
  <si>
    <t xml:space="preserve">NON-COMPLIANT on equipment - price is not comparable.</t>
  </si>
  <si>
    <t xml:space="preserve">How to read this workbook</t>
  </si>
  <si>
    <t xml:space="preserve">Bid Tab - every bid mapped onto the client's 13-line bill of quantities, with the median, low and high of the four GENT bids per line.</t>
  </si>
  <si>
    <t xml:space="preserve">Unit Rates - effective rate per unit, derived from the line totals, so a bidder's printed rate and what it actually charged can diverge visibly.</t>
  </si>
  <si>
    <t xml:space="preserve">Normalisation - the bridge from as-quoted to like-for-like: arithmetic corrections and imputed unpriced scope, each shown separately.</t>
  </si>
  <si>
    <t xml:space="preserve">Compliance - the RFP's contractor responsibilities and required commercial submission, tested bid by bid, plus validity and document-integrity flags.</t>
  </si>
  <si>
    <t xml:space="preserve">Notes &amp; Sources - every assumption, every imputed number, and the source document behind each column.</t>
  </si>
  <si>
    <t xml:space="preserve">IKEJA CITY MALL - ADDRESSABLE FIRE DETECTION &amp; ALARM SYSTEM</t>
  </si>
  <si>
    <t xml:space="preserve">Normalised bid tabulation - all bids mapped line-by-line onto the client's RFP bill of quantities</t>
  </si>
  <si>
    <t xml:space="preserve">All figures in Nigerian Naira (NGN), exclusive of VAT unless stated. Blue = figure taken from a bidder's document; black = formula. Blank = item not quoted.</t>
  </si>
  <si>
    <t xml:space="preserve">RFP
Item</t>
  </si>
  <si>
    <t xml:space="preserve">Description (per client RFP)</t>
  </si>
  <si>
    <t xml:space="preserve">Qty</t>
  </si>
  <si>
    <t xml:space="preserve">Unit</t>
  </si>
  <si>
    <t xml:space="preserve">Median
(GENT bids)</t>
  </si>
  <si>
    <t xml:space="preserve">Lowest
(GENT bids)</t>
  </si>
  <si>
    <t xml:space="preserve">Highest
(GENT bids)</t>
  </si>
  <si>
    <t xml:space="preserve">Notes / exceptions</t>
  </si>
  <si>
    <t xml:space="preserve">GENT Vigilon Plus 24 addressable fire alarm main panel, 1-4 loop, integrated with existing system</t>
  </si>
  <si>
    <t xml:space="preserve">No.</t>
  </si>
  <si>
    <t xml:space="preserve">Roundbox quotes TWO panels (TX7008-6 6-loop main + TX7004 sub-panel) against this single line - scope clarification required.</t>
  </si>
  <si>
    <t xml:space="preserve">GENT S4 addressable smoke detectors c/w detector bases</t>
  </si>
  <si>
    <t xml:space="preserve">Roundbox figure = TX7100 detector 7,118,572.31 + TX7980 bases 827,494.25.</t>
  </si>
  <si>
    <t xml:space="preserve">GENT S4 "VAD" addressable heat detectors</t>
  </si>
  <si>
    <t xml:space="preserve">Gent does make heat sensors with an integrated VAD strobe (S4-720-V-VAD-HPR / -HPW), so the RFP wording describes a real product. But at 57,000-76,000 these lines are priced like PLAIN heat sensors - below the sounder-VAD lines at 90,000-145,000. Confirm which variant is being supplied before award.</t>
  </si>
  <si>
    <t xml:space="preserve">GENT S4-34842 addressable manual call points (MCPs)</t>
  </si>
  <si>
    <t xml:space="preserve">Roundbox figure = TX7140 call point 788,916.43 + TX7140-MB boxes 128,271.25.</t>
  </si>
  <si>
    <t xml:space="preserve">GENT S4 addressable sounders</t>
  </si>
  <si>
    <t xml:space="preserve">GENT two-channel interface modules</t>
  </si>
  <si>
    <t xml:space="preserve">1.5mm2 two-core flexible copper shielded fire-resistant cable, incl. termination and testing</t>
  </si>
  <si>
    <t xml:space="preserve">drum (100m)</t>
  </si>
  <si>
    <t xml:space="preserve">Piping, trunking, containment systems, supports and accessories for cable routing</t>
  </si>
  <si>
    <t xml:space="preserve">Lot</t>
  </si>
  <si>
    <t xml:space="preserve">GENT Plus addressable loop cards</t>
  </si>
  <si>
    <t xml:space="preserve">TotaGO prints 4 No. @ 300,000 = 1,500,000; 4 x 300,000 = 1,200,000. Over-stated by 300,000 - corrected on 'Normalisation'. Roundbox supplies 1 card only, not 4.</t>
  </si>
  <si>
    <t xml:space="preserve">GENT 1-2 loop fire alarm panel (system expansion / integration)</t>
  </si>
  <si>
    <t xml:space="preserve">JML/Fadayomi does not quote this item at all. Imputed on 'Normalisation'.</t>
  </si>
  <si>
    <t xml:space="preserve">GENT network card for inter-panel communication and networking</t>
  </si>
  <si>
    <t xml:space="preserve">Associated civil works, builders' works, installation materials and ancillary accessories</t>
  </si>
  <si>
    <t xml:space="preserve">Professional services: design review, programming, testing, commissioning, as-built documentation, training, labour, handover</t>
  </si>
  <si>
    <t xml:space="preserve">Roundbox figure = professional services 1,500,000 + separately stated installation cost 7,077,100.03, combined for comparability.</t>
  </si>
  <si>
    <t xml:space="preserve">-</t>
  </si>
  <si>
    <t xml:space="preserve">Items priced outside the RFP bill of quantities (detail below)</t>
  </si>
  <si>
    <t xml:space="preserve">Included here because it forms part of the subtotal the bidder printed. Excluded from the median / low / high, which cover RFP scope only.</t>
  </si>
  <si>
    <t xml:space="preserve">SUBTOTAL (ex VAT), as quoted</t>
  </si>
  <si>
    <t xml:space="preserve">Reconciles exactly to the subtotal printed on each bidder's own quotation.</t>
  </si>
  <si>
    <t xml:space="preserve">VAT rate applied (Nigeria standard rate)</t>
  </si>
  <si>
    <t xml:space="preserve">Key input. All five bids compute VAT at this rate; Roundbox mislabels it "5%" but its arithmetic is 7.5%.</t>
  </si>
  <si>
    <t xml:space="preserve">TOTAL AS QUOTED (incl. VAT)</t>
  </si>
  <si>
    <t xml:space="preserve">Reconciliation to each bidder's printed subtotal</t>
  </si>
  <si>
    <t xml:space="preserve">Subtotal as printed on the bidder's document</t>
  </si>
  <si>
    <t xml:space="preserve">Difference vs this tabulation</t>
  </si>
  <si>
    <t xml:space="preserve">Zero across the row confirms every line was transcribed and mapped without loss.</t>
  </si>
  <si>
    <t xml:space="preserve">Detail: items priced outside the RFP bill of quantities</t>
  </si>
  <si>
    <t xml:space="preserve">Bidder</t>
  </si>
  <si>
    <t xml:space="preserve">Item</t>
  </si>
  <si>
    <t xml:space="preserve">Amount</t>
  </si>
  <si>
    <t xml:space="preserve">TANDA TX7932 handheld programmer</t>
  </si>
  <si>
    <t xml:space="preserve">Not deducted from the adjusted totals: whether this scope is wanted is the client's call, and guessing would move the comparison on judgement rather than evidence. Roundbox also prices two panels against the single main-panel line - see the note on item 1.</t>
  </si>
  <si>
    <t xml:space="preserve">UNIT RATE COMPARISON</t>
  </si>
  <si>
    <t xml:space="preserve">Effective unit rate = quoted line total / RFP quantity. Derived by formula from 'Bid Tab', so it reflects what each bidder actually billed per unit.</t>
  </si>
  <si>
    <t xml:space="preserve">Roundbox rates are for TANDA equipment, not GENT - shown for reference only, they are not a like-for-like price.</t>
  </si>
  <si>
    <t xml:space="preserve">Description</t>
  </si>
  <si>
    <t xml:space="preserve">Median rate
(GENT bids)</t>
  </si>
  <si>
    <t xml:space="preserve">Spread
(high / low)</t>
  </si>
  <si>
    <t xml:space="preserve">Comment</t>
  </si>
  <si>
    <t xml:space="preserve">Widest hardware spread in the tab: PISL 57,000 vs Emo 76,000 per smoke detector on 385 units = 7.3m swing.</t>
  </si>
  <si>
    <t xml:space="preserve">TotaGO's printed rate is 300,000; the derived rate is 375,000 because the line total is over-stated.</t>
  </si>
  <si>
    <t xml:space="preserve">Professional services / labour range 4.2m to 15.0m - the single largest driver of the spread between the GENT bids.</t>
  </si>
  <si>
    <t xml:space="preserve">NORMALISATION BRIDGE - AS QUOTED TO LIKE-FOR-LIKE</t>
  </si>
  <si>
    <t xml:space="preserve">Two classes of adjustment only: (a) arithmetic errors on the face of a bid, (b) RFP scope a bidder failed to price, imputed at the median of the bids that did price it.</t>
  </si>
  <si>
    <t xml:space="preserve">Yellow cells are imputed values, not bidder figures. No adjustment is made for scope a bidder ADDED - see 'Bid Tab' for those.</t>
  </si>
  <si>
    <t xml:space="preserve">Step</t>
  </si>
  <si>
    <t xml:space="preserve">Adjustment</t>
  </si>
  <si>
    <t xml:space="preserve">Basis</t>
  </si>
  <si>
    <t xml:space="preserve">A</t>
  </si>
  <si>
    <t xml:space="preserve">Face of each bidder's quotation.</t>
  </si>
  <si>
    <t xml:space="preserve">B</t>
  </si>
  <si>
    <t xml:space="preserve">Arithmetic correction</t>
  </si>
  <si>
    <t xml:space="preserve">TotaGO item 9: 4 loop cards @ 300,000 = 1,200,000, but the line total reads 1,500,000 and the printed subtotal only balances with the wrong figure.</t>
  </si>
  <si>
    <t xml:space="preserve">C</t>
  </si>
  <si>
    <t xml:space="preserve">Imputed: unpriced RFP scope</t>
  </si>
  <si>
    <t xml:space="preserve">JML: GENT 1-2 loop expansion panel not quoted - imputed at the median of the three GENT bids that priced it. Roundbox: supplies 1 of the 4 required loop cards - 3 added at its own rate.</t>
  </si>
  <si>
    <t xml:space="preserve">D</t>
  </si>
  <si>
    <t xml:space="preserve">ADJUSTED SUBTOTAL (ex VAT)</t>
  </si>
  <si>
    <t xml:space="preserve">A + B + C.</t>
  </si>
  <si>
    <t xml:space="preserve">E</t>
  </si>
  <si>
    <t xml:space="preserve">VAT @ 7.5%</t>
  </si>
  <si>
    <t xml:space="preserve">Rate held on 'Bid Tab'.</t>
  </si>
  <si>
    <t xml:space="preserve">F</t>
  </si>
  <si>
    <t xml:space="preserve">D + E.</t>
  </si>
  <si>
    <t xml:space="preserve">Movement vs total as quoted</t>
  </si>
  <si>
    <t xml:space="preserve">Negative = the bid overstated itself; positive = the bid was cheap because it left scope out.</t>
  </si>
  <si>
    <t xml:space="preserve">Adjusted total as % of lowest COMPLIANT bid</t>
  </si>
  <si>
    <t xml:space="preserve">Compliant = GENT equipment as the RFP requires, so Roundbox (column G) is excluded from the benchmark.</t>
  </si>
  <si>
    <t xml:space="preserve">COMPLIANCE &amp; COMMERCIAL SUBMISSION MATRIX</t>
  </si>
  <si>
    <t xml:space="preserve">Tested against the RFP's stated contractor responsibilities and its required commercial submission.</t>
  </si>
  <si>
    <t xml:space="preserve">Evaluation reference date</t>
  </si>
  <si>
    <t xml:space="preserve">&lt;- key input: validity is tested against this date</t>
  </si>
  <si>
    <t xml:space="preserve">Requirement</t>
  </si>
  <si>
    <t xml:space="preserve">Equipment offered is GENT, compatible with the existing Vigilon system</t>
  </si>
  <si>
    <t xml:space="preserve">Yes</t>
  </si>
  <si>
    <t xml:space="preserve">NO</t>
  </si>
  <si>
    <t xml:space="preserve">The RFP requires genuine equipment compatible with the existing GENT Vigilon system. Roundbox substitutes TANDA throughout - a replacement system, not the upgrade that was tendered.</t>
  </si>
  <si>
    <t xml:space="preserve">All 13 BoQ lines priced</t>
  </si>
  <si>
    <t xml:space="preserve">Partial</t>
  </si>
  <si>
    <t xml:space="preserve">JML omits the GENT 1-2 loop expansion panel. Roundbox supplies 1 loop card against the 4 required.</t>
  </si>
  <si>
    <t xml:space="preserve">Bid arithmetic reconciles</t>
  </si>
  <si>
    <t xml:space="preserve">TotaGO's loop-card line is over-stated by 300,000 and its subtotal only foots with the error. Rates on items 4 and 10 are also mistyped ("3,430,000,00", "3,000,00.00").</t>
  </si>
  <si>
    <t xml:space="preserve">VAT correctly stated</t>
  </si>
  <si>
    <t xml:space="preserve">Roundbox labels VAT "@ 5%" but the amount is exactly 7.5% of its subtotal. Amount right, label wrong - fix before it reaches a contract document.</t>
  </si>
  <si>
    <t xml:space="preserve">Delivery period stated</t>
  </si>
  <si>
    <t xml:space="preserve">No</t>
  </si>
  <si>
    <t xml:space="preserve">RFP requires it. Emo: 90 days.</t>
  </si>
  <si>
    <t xml:space="preserve">Project execution timeline stated</t>
  </si>
  <si>
    <t xml:space="preserve">Emo: 60-90 days. Roundbox: 3 months.</t>
  </si>
  <si>
    <t xml:space="preserve">Warranty period stated in the bid</t>
  </si>
  <si>
    <t xml:space="preserve">Emo: 12 months. Roundbox: 3 years on material. PISL states 6 months in its company profile but not in the quotation itself.</t>
  </si>
  <si>
    <t xml:space="preserve">Payment terms stated</t>
  </si>
  <si>
    <t xml:space="preserve">Emo: 40% on LPO / 30% on delivery / 30% on completion. Roundbox: 100% material, 50% installation, balance before commissioning - heavily front-loaded and the weakest of the two for the client.</t>
  </si>
  <si>
    <t xml:space="preserve">Validity period stated</t>
  </si>
  <si>
    <t xml:space="preserve">See dates below.</t>
  </si>
  <si>
    <t xml:space="preserve">Validity check</t>
  </si>
  <si>
    <t xml:space="preserve">Validity stated (days)</t>
  </si>
  <si>
    <t xml:space="preserve">PISL states "one month" and JML "30 days" - both taken as 30.</t>
  </si>
  <si>
    <t xml:space="preserve">Expires</t>
  </si>
  <si>
    <t xml:space="preserve">Still valid at reference date?</t>
  </si>
  <si>
    <t xml:space="preserve">Three of the five bids have lapsed and would need to be re-confirmed in writing before any award.</t>
  </si>
  <si>
    <t xml:space="preserve">Document hygiene / integrity flags</t>
  </si>
  <si>
    <t xml:space="preserve">Letterhead reads "LOCATION: NEW DRY POWDER MILK FACTORY" - copied from an unrelated quotation. Pricing itself is internally consistent.</t>
  </si>
  <si>
    <t xml:space="preserve">Validity of 7 days from 20 March 2026; multiple numeric typos; subtotal depends on an over-stated line.</t>
  </si>
  <si>
    <t xml:space="preserve">The archive is named after PISL's own proposal title and bundles PISL's 30-page company profile with the tender pack - note the possible conflict of interest in who assembled this bid set.</t>
  </si>
  <si>
    <t xml:space="preserve">Vendor name does not appear in the document's text layer (logo only); signed "SeyiFadayomi", customer ref JMLINVICM. Confirm the legal entity before evaluating.</t>
  </si>
  <si>
    <t xml:space="preserve">Quotes two panels against the single main-panel line; adds a handheld programmer not in the BoQ.</t>
  </si>
  <si>
    <t xml:space="preserve">NOTES, ASSUMPTIONS &amp; SOURCES</t>
  </si>
  <si>
    <t xml:space="preserve">Every number in this workbook is either transcribed from one of the source PDFs, or derived by formula from those transcriptions. The only exceptions are the two imputed values listed below.</t>
  </si>
  <si>
    <t xml:space="preserve">#</t>
  </si>
  <si>
    <t xml:space="preserve">Topic</t>
  </si>
  <si>
    <t xml:space="preserve">Note</t>
  </si>
  <si>
    <t xml:space="preserve">Source pack</t>
  </si>
  <si>
    <t xml:space="preserve">Seven PDFs supplied in PROPOSED_OVERHAUL_OF_THE_MALL_FIRE_DETECTION_AND_ALARM_SYSTEM1.zip: one client RFP, five vendor quotations, and one bidder company profile (ICM PROFILE.pdf, Potreal Insight Solutions Ltd).</t>
  </si>
  <si>
    <t xml:space="preserve">Client requirement</t>
  </si>
  <si>
    <t xml:space="preserve">Source: REQUEST FOR PROPOSAL FOR THE REPAIR, REPLEMENT AND UPGRADING OF FIRE DETECTION AND ALARM SYSTEM..pdf - repair, replacement, upgrade, testing and recommissioning of the mall's addressable GENT Vigilon fire detection and alarm system.</t>
  </si>
  <si>
    <t xml:space="preserve">Quantities</t>
  </si>
  <si>
    <t xml:space="preserve">The 13 BoQ quantities are the client's, taken from the RFP. The RFP also requires each bidder to verify quantities by site survey before execution, so they are not yet contractually fixed.</t>
  </si>
  <si>
    <t xml:space="preserve">Line totals</t>
  </si>
  <si>
    <t xml:space="preserve">Transcribed as printed on each quotation (blue cells). Where a bidder split an RFP line across several of its own lines, the components are summed and the split is recorded in the 'Notes / exceptions' column of 'Bid Tab'.</t>
  </si>
  <si>
    <t xml:space="preserve">All five bids compute VAT at 7.5%, the Nigerian standard rate, and each printed total reproduces exactly on that basis. Roundbox's label reads "@ 5%" but its arithmetic is 7.5%.</t>
  </si>
  <si>
    <t xml:space="preserve">IMPUTED VALUE 1</t>
  </si>
  <si>
    <t xml:space="preserve">JML / Fadayomi did not price the GENT 1-2 loop expansion panel. Imputed at the median of the three GENT bids that did price it (3,000,000 / 3,450,000 / 3,500,000). This is an analyst estimate, not a bidder figure - shown in a yellow cell on 'Normalisation'.</t>
  </si>
  <si>
    <t xml:space="preserve">IMPUTED VALUE 2</t>
  </si>
  <si>
    <t xml:space="preserve">Roundbox supplies 1 loop card against the 4 required. Three additional cards imputed at Roundbox's own quoted rate. Analyst estimate - yellow cell on 'Normalisation'.</t>
  </si>
  <si>
    <t xml:space="preserve">Deliberately NOT adjusted</t>
  </si>
  <si>
    <t xml:space="preserve">Scope a bidder ADDED beyond the RFP (Roundbox's second panel and its handheld programmer) stays inside the as-quoted subtotal, because it forms part of the subtotal that bidder printed. It is shown on its own row of 'Bid Tab' so it can be seen and stripped, but it is not deducted: whether the scope is wanted is the client's call, and guessing would move the totals on the analyst's judgement rather than on evidence.</t>
  </si>
  <si>
    <t xml:space="preserve">Reconciliation</t>
  </si>
  <si>
    <t xml:space="preserve">'Bid Tab' carries a check row proving this tabulation foots exactly to the subtotal printed on each of the five quotations - the difference row reads zero across all five columns.</t>
  </si>
  <si>
    <t xml:space="preserve">Roundbox comparability</t>
  </si>
  <si>
    <t xml:space="preserve">Roundbox's total is roughly half the GENT bids because it substitutes TANDA equipment throughout - e.g. a smoke detector at ~20,600 delivered against 57,000-76,000 for GENT. The RFP requires equipment compatible with the existing GENT Vigilon system, so this is a rip-and-replace alternative, not a cheaper version of the tendered work. It is excluded from the compliant-bid ranking.</t>
  </si>
  <si>
    <t xml:space="preserve">Heat detector variant</t>
  </si>
  <si>
    <t xml:space="preserve">The RFP asks for 60 "GENT S4 VAD Addressable Heat Detectors". Gent does build heat sensors with an integrated visual alarm device (S4-720-V-VAD-HPR red / -HPW white), so the wording is valid. The concern is pricing: at 57,000-76,000 per unit these lines sit below the plain sounder-VAD lines (90,000-145,000), which suggests bidders priced ordinary heat sensors rather than the VAD variant. Worth 60 units of clarification before award.</t>
  </si>
  <si>
    <t xml:space="preserve">Part numbers verified</t>
  </si>
  <si>
    <t xml:space="preserve">Every Gent part number appearing in the bids is a real, current product: Vigilon Plus 24 panel, S4-715 optical smoke, S4-710 optical/heat multi-sensor, S4-720 heat, S4-700 common base, S4-34842 manual call point (EN54-11, with cover), and S3-S-VAD-HPR-R sounder/VAD from the S-Cubed range (EN54-23, Vigilon compatible). No bidder invented a part.</t>
  </si>
  <si>
    <t xml:space="preserve">Loop loading</t>
  </si>
  <si>
    <t xml:space="preserve">Vigilon Plus supports 200 devices per loop, so 540 devices over 4 loops plus the expansion panel is within capacity on device count. Gent also applies a load factor per device type (a manual call point counts 4) and limits sounder-VADs to about 70 per loop, so the winning contractor must produce a proper loop loading calculation, not just a device count.</t>
  </si>
  <si>
    <t xml:space="preserve">Loop capacity</t>
  </si>
  <si>
    <t xml:space="preserve">385 smoke + 60 heat + 35 MCP + 60 sounders = 540 devices across a 1-4 loop Vigilon Plus 24 plus a 1-2 loop expansion panel. Worth confirming the loop loading and cable routing at survey stage.</t>
  </si>
  <si>
    <t xml:space="preserve">Currency &amp; rounding</t>
  </si>
  <si>
    <t xml:space="preserve">All figures NGN. Cells display to the nearest naira; stored values are exact. Totals therefore may appear to differ from the sum of displayed components by a few kobo.</t>
  </si>
  <si>
    <t xml:space="preserve">Conflict of interest</t>
  </si>
  <si>
    <t xml:space="preserve">The archive is named after Potreal's own proposal title and includes Potreal's company profile alongside the competing bids, which suggests the pack was assembled by or around one of the bidders. Worth confirming who compiled it before relying on it as a complete record of the tender.</t>
  </si>
  <si>
    <t xml:space="preserve">What this workbook is not</t>
  </si>
  <si>
    <t xml:space="preserve">A technical evaluation. It compares price, scope coverage and commercial compliance only. No assessment has been made of any bidder's competence, references, or the condition of the existing installation.</t>
  </si>
  <si>
    <t xml:space="preserve">Legend</t>
  </si>
  <si>
    <t xml:space="preserve">Blue text - figure transcribed from a bidder's document</t>
  </si>
  <si>
    <t xml:space="preserve">Black text - calculated by formula</t>
  </si>
  <si>
    <t xml:space="preserve">Yellow fill - key input or analyst-imputed value; change these to re-run the comparison</t>
  </si>
  <si>
    <t xml:space="preserve">Orange fill - non-compliance or exception flag</t>
  </si>
</sst>
</file>

<file path=xl/styles.xml><?xml version="1.0" encoding="utf-8"?>
<styleSheet xmlns="http://schemas.openxmlformats.org/spreadsheetml/2006/main">
  <numFmts count="7">
    <numFmt numFmtId="164" formatCode="General"/>
    <numFmt numFmtId="165" formatCode="dd\-mmm\-yyyy"/>
    <numFmt numFmtId="166" formatCode="#,##0;\(#,##0\);\-"/>
    <numFmt numFmtId="167" formatCode="General"/>
    <numFmt numFmtId="168" formatCode="0.0%;\(0.0%\);\-"/>
    <numFmt numFmtId="169" formatCode="#,##0"/>
    <numFmt numFmtId="170" formatCode="0.00\x"/>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9"/>
      <name val="Arial"/>
      <family val="0"/>
      <charset val="1"/>
    </font>
    <font>
      <b val="true"/>
      <sz val="10"/>
      <name val="Arial"/>
      <family val="0"/>
      <charset val="1"/>
    </font>
    <font>
      <sz val="10"/>
      <color rgb="FF0000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9E1F2"/>
        <bgColor rgb="FFE2EFDA"/>
      </patternFill>
    </fill>
    <fill>
      <patternFill patternType="solid">
        <fgColor rgb="FFFFF2CC"/>
        <bgColor rgb="FFFCE4D6"/>
      </patternFill>
    </fill>
    <fill>
      <patternFill patternType="solid">
        <fgColor rgb="FFFFFF00"/>
        <bgColor rgb="FFFFFF00"/>
      </patternFill>
    </fill>
    <fill>
      <patternFill patternType="solid">
        <fgColor rgb="FFE2EFDA"/>
        <bgColor rgb="FFD9E1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6" fontId="10" fillId="5" borderId="2"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9" fontId="11" fillId="4" borderId="1" xfId="0" applyFont="true" applyBorder="true" applyAlignment="true" applyProtection="false">
      <alignment horizontal="center" vertical="center"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11" fillId="6" borderId="0" xfId="0" applyFont="true" applyBorder="false" applyAlignment="true" applyProtection="false">
      <alignment horizontal="center" vertical="center"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0" fontId="8" fillId="4" borderId="1" xfId="0" applyFont="true" applyBorder="true" applyAlignment="true" applyProtection="false">
      <alignment horizontal="center" vertical="center"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5" fontId="11" fillId="6" borderId="0" xfId="0" applyFont="true" applyBorder="fals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0" fillId="6"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6" min="2" style="0" width="26"/>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31.5" hidden="false" customHeight="true" outlineLevel="0" collapsed="false">
      <c r="A5" s="4"/>
      <c r="B5" s="4" t="s">
        <v>3</v>
      </c>
      <c r="C5" s="4" t="s">
        <v>4</v>
      </c>
      <c r="D5" s="4" t="s">
        <v>5</v>
      </c>
      <c r="E5" s="4" t="s">
        <v>6</v>
      </c>
      <c r="F5" s="4" t="s">
        <v>7</v>
      </c>
    </row>
    <row r="6" customFormat="false" ht="30" hidden="false" customHeight="true" outlineLevel="0" collapsed="false">
      <c r="A6" s="5" t="s">
        <v>8</v>
      </c>
      <c r="B6" s="6" t="s">
        <v>9</v>
      </c>
      <c r="C6" s="6" t="s">
        <v>10</v>
      </c>
      <c r="D6" s="6" t="s">
        <v>11</v>
      </c>
      <c r="E6" s="6" t="s">
        <v>12</v>
      </c>
      <c r="F6" s="6" t="s">
        <v>13</v>
      </c>
    </row>
    <row r="7" customFormat="false" ht="15" hidden="false" customHeight="false" outlineLevel="0" collapsed="false">
      <c r="A7" s="5" t="s">
        <v>14</v>
      </c>
      <c r="B7" s="7" t="n">
        <f aca="false">Compliance!B18</f>
        <v>46101</v>
      </c>
      <c r="C7" s="7" t="n">
        <f aca="false">Compliance!C18</f>
        <v>46220</v>
      </c>
      <c r="D7" s="7" t="n">
        <f aca="false">Compliance!D18</f>
        <v>46195</v>
      </c>
      <c r="E7" s="7" t="n">
        <f aca="false">Compliance!E18</f>
        <v>46196</v>
      </c>
      <c r="F7" s="7" t="n">
        <f aca="false">Compliance!F18</f>
        <v>46234</v>
      </c>
    </row>
    <row r="8" customFormat="false" ht="15" hidden="false" customHeight="false" outlineLevel="0" collapsed="false">
      <c r="A8" s="5" t="s">
        <v>15</v>
      </c>
      <c r="B8" s="8" t="s">
        <v>16</v>
      </c>
      <c r="C8" s="8" t="s">
        <v>16</v>
      </c>
      <c r="D8" s="8" t="s">
        <v>16</v>
      </c>
      <c r="E8" s="8" t="s">
        <v>16</v>
      </c>
      <c r="F8" s="9" t="s">
        <v>17</v>
      </c>
    </row>
    <row r="9" customFormat="false" ht="15" hidden="false" customHeight="false" outlineLevel="0" collapsed="false">
      <c r="A9" s="5" t="s">
        <v>18</v>
      </c>
      <c r="B9" s="10" t="n">
        <f aca="false">'Bid Tab'!E20</f>
        <v>86825000</v>
      </c>
      <c r="C9" s="10" t="n">
        <f aca="false">'Bid Tab'!F20</f>
        <v>78201500</v>
      </c>
      <c r="D9" s="10" t="n">
        <f aca="false">'Bid Tab'!G20</f>
        <v>73490000</v>
      </c>
      <c r="E9" s="10" t="n">
        <f aca="false">'Bid Tab'!H20</f>
        <v>68050000</v>
      </c>
      <c r="F9" s="10" t="n">
        <f aca="false">'Bid Tab'!I20</f>
        <v>34167433.47</v>
      </c>
    </row>
    <row r="10" customFormat="false" ht="15" hidden="false" customHeight="false" outlineLevel="0" collapsed="false">
      <c r="A10" s="5" t="s">
        <v>19</v>
      </c>
      <c r="B10" s="10" t="n">
        <f aca="false">'Bid Tab'!E22</f>
        <v>6511875</v>
      </c>
      <c r="C10" s="10" t="n">
        <f aca="false">'Bid Tab'!F22</f>
        <v>5865112.5</v>
      </c>
      <c r="D10" s="10" t="n">
        <f aca="false">'Bid Tab'!G22</f>
        <v>5511750</v>
      </c>
      <c r="E10" s="10" t="n">
        <f aca="false">'Bid Tab'!H22</f>
        <v>5103750</v>
      </c>
      <c r="F10" s="10" t="n">
        <f aca="false">'Bid Tab'!I22</f>
        <v>2562557.51025</v>
      </c>
    </row>
    <row r="11" customFormat="false" ht="15" hidden="false" customHeight="false" outlineLevel="0" collapsed="false">
      <c r="A11" s="11" t="s">
        <v>20</v>
      </c>
      <c r="B11" s="12" t="n">
        <f aca="false">'Bid Tab'!E23</f>
        <v>93336875</v>
      </c>
      <c r="C11" s="12" t="n">
        <f aca="false">'Bid Tab'!F23</f>
        <v>84066612.5</v>
      </c>
      <c r="D11" s="12" t="n">
        <f aca="false">'Bid Tab'!G23</f>
        <v>79001750</v>
      </c>
      <c r="E11" s="12" t="n">
        <f aca="false">'Bid Tab'!H23</f>
        <v>73153750</v>
      </c>
      <c r="F11" s="12" t="n">
        <f aca="false">'Bid Tab'!I23</f>
        <v>36729990.98025</v>
      </c>
    </row>
    <row r="12" customFormat="false" ht="15" hidden="false" customHeight="false" outlineLevel="0" collapsed="false">
      <c r="A12" s="5" t="s">
        <v>21</v>
      </c>
      <c r="B12" s="10" t="n">
        <f aca="false">Normalisation!C7+Normalisation!C8</f>
        <v>-300000</v>
      </c>
      <c r="C12" s="10" t="n">
        <f aca="false">Normalisation!D7+Normalisation!D8</f>
        <v>0</v>
      </c>
      <c r="D12" s="10" t="n">
        <f aca="false">Normalisation!E7+Normalisation!E8</f>
        <v>0</v>
      </c>
      <c r="E12" s="10" t="n">
        <f aca="false">Normalisation!F7+Normalisation!F8</f>
        <v>3450000</v>
      </c>
      <c r="F12" s="10" t="n">
        <f aca="false">Normalisation!G7+Normalisation!G8</f>
        <v>903299.67</v>
      </c>
    </row>
    <row r="13" customFormat="false" ht="15" hidden="false" customHeight="false" outlineLevel="0" collapsed="false">
      <c r="A13" s="11" t="s">
        <v>22</v>
      </c>
      <c r="B13" s="13" t="n">
        <f aca="false">Normalisation!C11</f>
        <v>93014375</v>
      </c>
      <c r="C13" s="13" t="n">
        <f aca="false">Normalisation!D11</f>
        <v>84066612.5</v>
      </c>
      <c r="D13" s="13" t="n">
        <f aca="false">Normalisation!E11</f>
        <v>79001750</v>
      </c>
      <c r="E13" s="13" t="n">
        <f aca="false">Normalisation!F11</f>
        <v>76862500</v>
      </c>
      <c r="F13" s="13" t="n">
        <f aca="false">Normalisation!G11</f>
        <v>37701038.1255</v>
      </c>
    </row>
    <row r="14" customFormat="false" ht="15" hidden="false" customHeight="false" outlineLevel="0" collapsed="false">
      <c r="A14" s="5" t="s">
        <v>23</v>
      </c>
      <c r="B14" s="14" t="n">
        <f aca="false">RANK(B13,$B$13:$E$13,1)</f>
        <v>4</v>
      </c>
      <c r="C14" s="14" t="n">
        <f aca="false">RANK(C13,$B$13:$E$13,1)</f>
        <v>3</v>
      </c>
      <c r="D14" s="14" t="n">
        <f aca="false">RANK(D13,$B$13:$E$13,1)</f>
        <v>2</v>
      </c>
      <c r="E14" s="14" t="n">
        <f aca="false">RANK(E13,$B$13:$E$13,1)</f>
        <v>1</v>
      </c>
      <c r="F14" s="8" t="s">
        <v>24</v>
      </c>
    </row>
    <row r="15" customFormat="false" ht="15" hidden="false" customHeight="false" outlineLevel="0" collapsed="false">
      <c r="A15" s="5" t="s">
        <v>25</v>
      </c>
      <c r="B15" s="15" t="n">
        <f aca="false">B13/MIN($B$13:$E$13)-1</f>
        <v>0.21013986013986</v>
      </c>
      <c r="C15" s="15" t="n">
        <f aca="false">C13/MIN($B$13:$E$13)-1</f>
        <v>0.0937272727272727</v>
      </c>
      <c r="D15" s="15" t="n">
        <f aca="false">D13/MIN($B$13:$E$13)-1</f>
        <v>0.0278321678321678</v>
      </c>
      <c r="E15" s="15" t="n">
        <f aca="false">E13/MIN($B$13:$E$13)-1</f>
        <v>0</v>
      </c>
      <c r="F15" s="15" t="n">
        <f aca="false">F13/MIN($B$13:$E$13)-1</f>
        <v>-0.509500235804196</v>
      </c>
    </row>
    <row r="16" customFormat="false" ht="15" hidden="false" customHeight="false" outlineLevel="0" collapsed="false">
      <c r="A16" s="5" t="s">
        <v>26</v>
      </c>
      <c r="B16" s="14" t="str">
        <f aca="false">Compliance!B21</f>
        <v>EXPIRED</v>
      </c>
      <c r="C16" s="14" t="str">
        <f aca="false">Compliance!C21</f>
        <v>Valid</v>
      </c>
      <c r="D16" s="14" t="str">
        <f aca="false">Compliance!D21</f>
        <v>EXPIRED</v>
      </c>
      <c r="E16" s="14" t="str">
        <f aca="false">Compliance!E21</f>
        <v>EXPIRED</v>
      </c>
      <c r="F16" s="14" t="str">
        <f aca="false">Compliance!F21</f>
        <v>Valid</v>
      </c>
    </row>
    <row r="17" customFormat="false" ht="57.75" hidden="false" customHeight="true" outlineLevel="0" collapsed="false">
      <c r="A17" s="5" t="s">
        <v>27</v>
      </c>
      <c r="B17" s="16" t="s">
        <v>28</v>
      </c>
      <c r="C17" s="16" t="s">
        <v>29</v>
      </c>
      <c r="D17" s="16" t="s">
        <v>30</v>
      </c>
      <c r="E17" s="16" t="s">
        <v>31</v>
      </c>
      <c r="F17" s="17" t="s">
        <v>32</v>
      </c>
    </row>
    <row r="19" customFormat="false" ht="15" hidden="false" customHeight="false" outlineLevel="0" collapsed="false">
      <c r="A19" s="18" t="s">
        <v>33</v>
      </c>
    </row>
    <row r="20" customFormat="false" ht="25.5" hidden="false" customHeight="true" outlineLevel="0" collapsed="false">
      <c r="A20" s="19" t="s">
        <v>34</v>
      </c>
      <c r="B20" s="19"/>
      <c r="C20" s="19"/>
      <c r="D20" s="19"/>
      <c r="E20" s="19"/>
      <c r="F20" s="19"/>
    </row>
    <row r="21" customFormat="false" ht="25.5" hidden="false" customHeight="true" outlineLevel="0" collapsed="false">
      <c r="A21" s="19" t="s">
        <v>35</v>
      </c>
      <c r="B21" s="19"/>
      <c r="C21" s="19"/>
      <c r="D21" s="19"/>
      <c r="E21" s="19"/>
      <c r="F21" s="19"/>
    </row>
    <row r="22" customFormat="false" ht="25.5" hidden="false" customHeight="true" outlineLevel="0" collapsed="false">
      <c r="A22" s="19" t="s">
        <v>36</v>
      </c>
      <c r="B22" s="19"/>
      <c r="C22" s="19"/>
      <c r="D22" s="19"/>
      <c r="E22" s="19"/>
      <c r="F22" s="19"/>
    </row>
    <row r="23" customFormat="false" ht="25.5" hidden="false" customHeight="true" outlineLevel="0" collapsed="false">
      <c r="A23" s="19" t="s">
        <v>37</v>
      </c>
      <c r="B23" s="19"/>
      <c r="C23" s="19"/>
      <c r="D23" s="19"/>
      <c r="E23" s="19"/>
      <c r="F23" s="19"/>
    </row>
    <row r="24" customFormat="false" ht="25.5" hidden="false" customHeight="true" outlineLevel="0" collapsed="false">
      <c r="A24" s="19" t="s">
        <v>38</v>
      </c>
      <c r="B24" s="19"/>
      <c r="C24" s="19"/>
      <c r="D24" s="19"/>
      <c r="E24" s="19"/>
      <c r="F24" s="19"/>
    </row>
  </sheetData>
  <mergeCells count="5">
    <mergeCell ref="A20:F20"/>
    <mergeCell ref="A21:F21"/>
    <mergeCell ref="A22:F22"/>
    <mergeCell ref="A23:F23"/>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7"/>
    <col collapsed="false" customWidth="true" hidden="false" outlineLevel="0" max="4" min="4" style="0" width="12"/>
    <col collapsed="false" customWidth="true" hidden="false" outlineLevel="0" max="12" min="5" style="0" width="15"/>
    <col collapsed="false" customWidth="true" hidden="false" outlineLevel="0" max="13" min="13" style="0" width="52"/>
  </cols>
  <sheetData>
    <row r="1" customFormat="false" ht="17.35" hidden="false" customHeight="false" outlineLevel="0" collapsed="false">
      <c r="A1" s="1" t="s">
        <v>39</v>
      </c>
    </row>
    <row r="2" customFormat="false" ht="15" hidden="false" customHeight="false" outlineLevel="0" collapsed="false">
      <c r="A2" s="2" t="s">
        <v>40</v>
      </c>
    </row>
    <row r="3" customFormat="false" ht="15" hidden="false" customHeight="false" outlineLevel="0" collapsed="false">
      <c r="A3" s="3" t="s">
        <v>41</v>
      </c>
    </row>
    <row r="5" customFormat="false" ht="42" hidden="false" customHeight="true" outlineLevel="0" collapsed="false">
      <c r="A5" s="4" t="s">
        <v>42</v>
      </c>
      <c r="B5" s="4" t="s">
        <v>43</v>
      </c>
      <c r="C5" s="4" t="s">
        <v>44</v>
      </c>
      <c r="D5" s="4" t="s">
        <v>45</v>
      </c>
      <c r="E5" s="4" t="s">
        <v>3</v>
      </c>
      <c r="F5" s="4" t="s">
        <v>4</v>
      </c>
      <c r="G5" s="4" t="s">
        <v>5</v>
      </c>
      <c r="H5" s="4" t="s">
        <v>6</v>
      </c>
      <c r="I5" s="4" t="s">
        <v>7</v>
      </c>
      <c r="J5" s="4" t="s">
        <v>46</v>
      </c>
      <c r="K5" s="4" t="s">
        <v>47</v>
      </c>
      <c r="L5" s="4" t="s">
        <v>48</v>
      </c>
      <c r="M5" s="4" t="s">
        <v>49</v>
      </c>
    </row>
    <row r="6" customFormat="false" ht="30" hidden="false" customHeight="true" outlineLevel="0" collapsed="false">
      <c r="A6" s="8" t="n">
        <v>1</v>
      </c>
      <c r="B6" s="20" t="s">
        <v>50</v>
      </c>
      <c r="C6" s="21" t="n">
        <v>1</v>
      </c>
      <c r="D6" s="8" t="s">
        <v>51</v>
      </c>
      <c r="E6" s="22" t="n">
        <v>7000000</v>
      </c>
      <c r="F6" s="22" t="n">
        <v>5100000</v>
      </c>
      <c r="G6" s="22" t="n">
        <v>5500000</v>
      </c>
      <c r="H6" s="22" t="n">
        <v>3200000</v>
      </c>
      <c r="I6" s="22" t="n">
        <v>3006479.77</v>
      </c>
      <c r="J6" s="10" t="n">
        <f aca="false">MEDIAN(E6:H6)</f>
        <v>5300000</v>
      </c>
      <c r="K6" s="10" t="n">
        <f aca="false">MIN(E6:H6)</f>
        <v>3200000</v>
      </c>
      <c r="L6" s="10" t="n">
        <f aca="false">MAX(E6:H6)</f>
        <v>7000000</v>
      </c>
      <c r="M6" s="16" t="s">
        <v>52</v>
      </c>
    </row>
    <row r="7" customFormat="false" ht="30" hidden="false" customHeight="true" outlineLevel="0" collapsed="false">
      <c r="A7" s="23" t="n">
        <v>2</v>
      </c>
      <c r="B7" s="24" t="s">
        <v>53</v>
      </c>
      <c r="C7" s="25" t="n">
        <v>385</v>
      </c>
      <c r="D7" s="23" t="s">
        <v>51</v>
      </c>
      <c r="E7" s="26" t="n">
        <v>27335000</v>
      </c>
      <c r="F7" s="26" t="n">
        <v>29260000</v>
      </c>
      <c r="G7" s="26" t="n">
        <v>21945000</v>
      </c>
      <c r="H7" s="26" t="n">
        <v>28875000</v>
      </c>
      <c r="I7" s="26" t="n">
        <v>7946066.56</v>
      </c>
      <c r="J7" s="27" t="n">
        <f aca="false">MEDIAN(E7:H7)</f>
        <v>28105000</v>
      </c>
      <c r="K7" s="27" t="n">
        <f aca="false">MIN(E7:H7)</f>
        <v>21945000</v>
      </c>
      <c r="L7" s="27" t="n">
        <f aca="false">MAX(E7:H7)</f>
        <v>29260000</v>
      </c>
      <c r="M7" s="28" t="s">
        <v>54</v>
      </c>
    </row>
    <row r="8" customFormat="false" ht="30" hidden="false" customHeight="true" outlineLevel="0" collapsed="false">
      <c r="A8" s="8" t="n">
        <v>3</v>
      </c>
      <c r="B8" s="20" t="s">
        <v>55</v>
      </c>
      <c r="C8" s="21" t="n">
        <v>60</v>
      </c>
      <c r="D8" s="8" t="s">
        <v>51</v>
      </c>
      <c r="E8" s="22" t="n">
        <v>4260000</v>
      </c>
      <c r="F8" s="22" t="n">
        <v>4416000</v>
      </c>
      <c r="G8" s="22" t="n">
        <v>3420000</v>
      </c>
      <c r="H8" s="22" t="n">
        <v>4500000</v>
      </c>
      <c r="I8" s="22" t="n">
        <v>1182134.64</v>
      </c>
      <c r="J8" s="10" t="n">
        <f aca="false">MEDIAN(E8:H8)</f>
        <v>4338000</v>
      </c>
      <c r="K8" s="10" t="n">
        <f aca="false">MIN(E8:H8)</f>
        <v>3420000</v>
      </c>
      <c r="L8" s="10" t="n">
        <f aca="false">MAX(E8:H8)</f>
        <v>4500000</v>
      </c>
      <c r="M8" s="16" t="s">
        <v>56</v>
      </c>
    </row>
    <row r="9" customFormat="false" ht="30" hidden="false" customHeight="true" outlineLevel="0" collapsed="false">
      <c r="A9" s="23" t="n">
        <v>4</v>
      </c>
      <c r="B9" s="24" t="s">
        <v>57</v>
      </c>
      <c r="C9" s="25" t="n">
        <v>35</v>
      </c>
      <c r="D9" s="23" t="s">
        <v>51</v>
      </c>
      <c r="E9" s="26" t="n">
        <v>3430000</v>
      </c>
      <c r="F9" s="26" t="n">
        <v>4581500</v>
      </c>
      <c r="G9" s="26" t="n">
        <v>3325000</v>
      </c>
      <c r="H9" s="26" t="n">
        <v>3675000</v>
      </c>
      <c r="I9" s="26" t="n">
        <v>917187.68</v>
      </c>
      <c r="J9" s="27" t="n">
        <f aca="false">MEDIAN(E9:H9)</f>
        <v>3552500</v>
      </c>
      <c r="K9" s="27" t="n">
        <f aca="false">MIN(E9:H9)</f>
        <v>3325000</v>
      </c>
      <c r="L9" s="27" t="n">
        <f aca="false">MAX(E9:H9)</f>
        <v>4581500</v>
      </c>
      <c r="M9" s="28" t="s">
        <v>58</v>
      </c>
    </row>
    <row r="10" customFormat="false" ht="30" hidden="false" customHeight="true" outlineLevel="0" collapsed="false">
      <c r="A10" s="8" t="n">
        <v>5</v>
      </c>
      <c r="B10" s="20" t="s">
        <v>59</v>
      </c>
      <c r="C10" s="21" t="n">
        <v>60</v>
      </c>
      <c r="D10" s="8" t="s">
        <v>51</v>
      </c>
      <c r="E10" s="22" t="n">
        <v>5700000</v>
      </c>
      <c r="F10" s="22" t="n">
        <v>7194000</v>
      </c>
      <c r="G10" s="22" t="n">
        <v>5400000</v>
      </c>
      <c r="H10" s="22" t="n">
        <v>8700000</v>
      </c>
      <c r="I10" s="22" t="n">
        <v>1625228.46</v>
      </c>
      <c r="J10" s="10" t="n">
        <f aca="false">MEDIAN(E10:H10)</f>
        <v>6447000</v>
      </c>
      <c r="K10" s="10" t="n">
        <f aca="false">MIN(E10:H10)</f>
        <v>5400000</v>
      </c>
      <c r="L10" s="10" t="n">
        <f aca="false">MAX(E10:H10)</f>
        <v>8700000</v>
      </c>
      <c r="M10" s="16"/>
    </row>
    <row r="11" customFormat="false" ht="30" hidden="false" customHeight="true" outlineLevel="0" collapsed="false">
      <c r="A11" s="23" t="n">
        <v>6</v>
      </c>
      <c r="B11" s="24" t="s">
        <v>60</v>
      </c>
      <c r="C11" s="25" t="n">
        <v>20</v>
      </c>
      <c r="D11" s="23" t="s">
        <v>51</v>
      </c>
      <c r="E11" s="26" t="n">
        <v>8000000</v>
      </c>
      <c r="F11" s="26" t="n">
        <v>2690000</v>
      </c>
      <c r="G11" s="26" t="n">
        <v>6000000</v>
      </c>
      <c r="H11" s="26" t="n">
        <v>3300000</v>
      </c>
      <c r="I11" s="26" t="n">
        <v>902721</v>
      </c>
      <c r="J11" s="27" t="n">
        <f aca="false">MEDIAN(E11:H11)</f>
        <v>4650000</v>
      </c>
      <c r="K11" s="27" t="n">
        <f aca="false">MIN(E11:H11)</f>
        <v>2690000</v>
      </c>
      <c r="L11" s="27" t="n">
        <f aca="false">MAX(E11:H11)</f>
        <v>8000000</v>
      </c>
      <c r="M11" s="28"/>
    </row>
    <row r="12" customFormat="false" ht="30" hidden="false" customHeight="true" outlineLevel="0" collapsed="false">
      <c r="A12" s="8" t="n">
        <v>7</v>
      </c>
      <c r="B12" s="20" t="s">
        <v>61</v>
      </c>
      <c r="C12" s="21" t="n">
        <v>30</v>
      </c>
      <c r="D12" s="8" t="s">
        <v>62</v>
      </c>
      <c r="E12" s="22" t="n">
        <v>6300000</v>
      </c>
      <c r="F12" s="22" t="n">
        <v>4440000</v>
      </c>
      <c r="G12" s="22" t="n">
        <v>4500000</v>
      </c>
      <c r="H12" s="22" t="n">
        <v>6150000</v>
      </c>
      <c r="I12" s="22" t="n">
        <v>6600000</v>
      </c>
      <c r="J12" s="10" t="n">
        <f aca="false">MEDIAN(E12:H12)</f>
        <v>5325000</v>
      </c>
      <c r="K12" s="10" t="n">
        <f aca="false">MIN(E12:H12)</f>
        <v>4440000</v>
      </c>
      <c r="L12" s="10" t="n">
        <f aca="false">MAX(E12:H12)</f>
        <v>6300000</v>
      </c>
      <c r="M12" s="16"/>
    </row>
    <row r="13" customFormat="false" ht="30" hidden="false" customHeight="true" outlineLevel="0" collapsed="false">
      <c r="A13" s="23" t="n">
        <v>8</v>
      </c>
      <c r="B13" s="24" t="s">
        <v>63</v>
      </c>
      <c r="C13" s="25" t="n">
        <v>1</v>
      </c>
      <c r="D13" s="23" t="s">
        <v>64</v>
      </c>
      <c r="E13" s="26" t="n">
        <v>1000000</v>
      </c>
      <c r="F13" s="26" t="n">
        <v>5150000</v>
      </c>
      <c r="G13" s="26" t="n">
        <v>600000</v>
      </c>
      <c r="H13" s="26" t="n">
        <v>500000</v>
      </c>
      <c r="I13" s="26" t="n">
        <v>1000000</v>
      </c>
      <c r="J13" s="27" t="n">
        <f aca="false">MEDIAN(E13:H13)</f>
        <v>800000</v>
      </c>
      <c r="K13" s="27" t="n">
        <f aca="false">MIN(E13:H13)</f>
        <v>500000</v>
      </c>
      <c r="L13" s="27" t="n">
        <f aca="false">MAX(E13:H13)</f>
        <v>5150000</v>
      </c>
      <c r="M13" s="28"/>
    </row>
    <row r="14" customFormat="false" ht="30" hidden="false" customHeight="true" outlineLevel="0" collapsed="false">
      <c r="A14" s="8" t="n">
        <v>9</v>
      </c>
      <c r="B14" s="20" t="s">
        <v>65</v>
      </c>
      <c r="C14" s="21" t="n">
        <v>4</v>
      </c>
      <c r="D14" s="8" t="s">
        <v>51</v>
      </c>
      <c r="E14" s="22" t="n">
        <v>1500000</v>
      </c>
      <c r="F14" s="22" t="n">
        <v>1800000</v>
      </c>
      <c r="G14" s="22" t="n">
        <v>1800000</v>
      </c>
      <c r="H14" s="22" t="n">
        <v>1540000</v>
      </c>
      <c r="I14" s="22" t="n">
        <v>301099.89</v>
      </c>
      <c r="J14" s="10" t="n">
        <f aca="false">MEDIAN(E14:H14)</f>
        <v>1670000</v>
      </c>
      <c r="K14" s="10" t="n">
        <f aca="false">MIN(E14:H14)</f>
        <v>1500000</v>
      </c>
      <c r="L14" s="10" t="n">
        <f aca="false">MAX(E14:H14)</f>
        <v>1800000</v>
      </c>
      <c r="M14" s="16" t="s">
        <v>66</v>
      </c>
    </row>
    <row r="15" customFormat="false" ht="30" hidden="false" customHeight="true" outlineLevel="0" collapsed="false">
      <c r="A15" s="23" t="n">
        <v>10</v>
      </c>
      <c r="B15" s="24" t="s">
        <v>67</v>
      </c>
      <c r="C15" s="25" t="n">
        <v>1</v>
      </c>
      <c r="D15" s="23" t="s">
        <v>51</v>
      </c>
      <c r="E15" s="26" t="n">
        <v>3000000</v>
      </c>
      <c r="F15" s="26" t="n">
        <v>3450000</v>
      </c>
      <c r="G15" s="26" t="n">
        <v>3500000</v>
      </c>
      <c r="H15" s="26"/>
      <c r="I15" s="26" t="n">
        <v>879271.19</v>
      </c>
      <c r="J15" s="27" t="n">
        <f aca="false">MEDIAN(E15:H15)</f>
        <v>3450000</v>
      </c>
      <c r="K15" s="27" t="n">
        <f aca="false">MIN(E15:H15)</f>
        <v>3000000</v>
      </c>
      <c r="L15" s="27" t="n">
        <f aca="false">MAX(E15:H15)</f>
        <v>3500000</v>
      </c>
      <c r="M15" s="28" t="s">
        <v>68</v>
      </c>
    </row>
    <row r="16" customFormat="false" ht="30" hidden="false" customHeight="true" outlineLevel="0" collapsed="false">
      <c r="A16" s="8" t="n">
        <v>11</v>
      </c>
      <c r="B16" s="20" t="s">
        <v>69</v>
      </c>
      <c r="C16" s="21" t="n">
        <v>1</v>
      </c>
      <c r="D16" s="8" t="s">
        <v>51</v>
      </c>
      <c r="E16" s="22" t="n">
        <v>800000</v>
      </c>
      <c r="F16" s="22" t="n">
        <v>620000</v>
      </c>
      <c r="G16" s="22" t="n">
        <v>1000000</v>
      </c>
      <c r="H16" s="22" t="n">
        <v>110000</v>
      </c>
      <c r="I16" s="22" t="n">
        <v>104683.67</v>
      </c>
      <c r="J16" s="10" t="n">
        <f aca="false">MEDIAN(E16:H16)</f>
        <v>710000</v>
      </c>
      <c r="K16" s="10" t="n">
        <f aca="false">MIN(E16:H16)</f>
        <v>110000</v>
      </c>
      <c r="L16" s="10" t="n">
        <f aca="false">MAX(E16:H16)</f>
        <v>1000000</v>
      </c>
      <c r="M16" s="16"/>
    </row>
    <row r="17" customFormat="false" ht="30" hidden="false" customHeight="true" outlineLevel="0" collapsed="false">
      <c r="A17" s="23" t="n">
        <v>12</v>
      </c>
      <c r="B17" s="24" t="s">
        <v>70</v>
      </c>
      <c r="C17" s="25" t="n">
        <v>1</v>
      </c>
      <c r="D17" s="23" t="s">
        <v>64</v>
      </c>
      <c r="E17" s="26" t="n">
        <v>3500000</v>
      </c>
      <c r="F17" s="26" t="n">
        <v>5300000</v>
      </c>
      <c r="G17" s="26" t="n">
        <v>4000000</v>
      </c>
      <c r="H17" s="26" t="n">
        <v>500000</v>
      </c>
      <c r="I17" s="26" t="n">
        <v>1000000</v>
      </c>
      <c r="J17" s="27" t="n">
        <f aca="false">MEDIAN(E17:H17)</f>
        <v>3750000</v>
      </c>
      <c r="K17" s="27" t="n">
        <f aca="false">MIN(E17:H17)</f>
        <v>500000</v>
      </c>
      <c r="L17" s="27" t="n">
        <f aca="false">MAX(E17:H17)</f>
        <v>5300000</v>
      </c>
      <c r="M17" s="28"/>
    </row>
    <row r="18" customFormat="false" ht="30" hidden="false" customHeight="true" outlineLevel="0" collapsed="false">
      <c r="A18" s="8" t="n">
        <v>13</v>
      </c>
      <c r="B18" s="20" t="s">
        <v>71</v>
      </c>
      <c r="C18" s="21" t="n">
        <v>1</v>
      </c>
      <c r="D18" s="8" t="s">
        <v>64</v>
      </c>
      <c r="E18" s="22" t="n">
        <v>15000000</v>
      </c>
      <c r="F18" s="22" t="n">
        <v>4200000</v>
      </c>
      <c r="G18" s="22" t="n">
        <v>12500000</v>
      </c>
      <c r="H18" s="22" t="n">
        <v>7000000</v>
      </c>
      <c r="I18" s="22" t="n">
        <v>8577100.03</v>
      </c>
      <c r="J18" s="10" t="n">
        <f aca="false">MEDIAN(E18:H18)</f>
        <v>9750000</v>
      </c>
      <c r="K18" s="10" t="n">
        <f aca="false">MIN(E18:H18)</f>
        <v>4200000</v>
      </c>
      <c r="L18" s="10" t="n">
        <f aca="false">MAX(E18:H18)</f>
        <v>15000000</v>
      </c>
      <c r="M18" s="16" t="s">
        <v>72</v>
      </c>
    </row>
    <row r="19" customFormat="false" ht="30" hidden="false" customHeight="true" outlineLevel="0" collapsed="false">
      <c r="A19" s="8" t="s">
        <v>73</v>
      </c>
      <c r="B19" s="20" t="s">
        <v>74</v>
      </c>
      <c r="D19" s="8" t="s">
        <v>64</v>
      </c>
      <c r="E19" s="22"/>
      <c r="F19" s="22"/>
      <c r="G19" s="22"/>
      <c r="H19" s="22"/>
      <c r="I19" s="22" t="n">
        <v>125460.58</v>
      </c>
      <c r="M19" s="16" t="s">
        <v>75</v>
      </c>
    </row>
    <row r="20" customFormat="false" ht="15" hidden="false" customHeight="false" outlineLevel="0" collapsed="false">
      <c r="B20" s="18" t="s">
        <v>76</v>
      </c>
      <c r="E20" s="29" t="n">
        <f aca="false">SUM(E6:E19)</f>
        <v>86825000</v>
      </c>
      <c r="F20" s="29" t="n">
        <f aca="false">SUM(F6:F19)</f>
        <v>78201500</v>
      </c>
      <c r="G20" s="29" t="n">
        <f aca="false">SUM(G6:G19)</f>
        <v>73490000</v>
      </c>
      <c r="H20" s="29" t="n">
        <f aca="false">SUM(H6:H19)</f>
        <v>68050000</v>
      </c>
      <c r="I20" s="29" t="n">
        <f aca="false">SUM(I6:I19)</f>
        <v>34167433.47</v>
      </c>
      <c r="M20" s="30" t="s">
        <v>77</v>
      </c>
    </row>
    <row r="21" customFormat="false" ht="22.35" hidden="false" customHeight="false" outlineLevel="0" collapsed="false">
      <c r="B21" s="31" t="s">
        <v>78</v>
      </c>
      <c r="E21" s="32" t="n">
        <v>0.075</v>
      </c>
      <c r="M21" s="30" t="s">
        <v>79</v>
      </c>
    </row>
    <row r="22" customFormat="false" ht="15" hidden="false" customHeight="false" outlineLevel="0" collapsed="false">
      <c r="B22" s="31" t="s">
        <v>19</v>
      </c>
      <c r="E22" s="10" t="n">
        <f aca="false">E20*$E$21</f>
        <v>6511875</v>
      </c>
      <c r="F22" s="10" t="n">
        <f aca="false">F20*$E$21</f>
        <v>5865112.5</v>
      </c>
      <c r="G22" s="10" t="n">
        <f aca="false">G20*$E$21</f>
        <v>5511750</v>
      </c>
      <c r="H22" s="10" t="n">
        <f aca="false">H20*$E$21</f>
        <v>5103750</v>
      </c>
      <c r="I22" s="10" t="n">
        <f aca="false">I20*$E$21</f>
        <v>2562557.51025</v>
      </c>
    </row>
    <row r="23" customFormat="false" ht="15" hidden="false" customHeight="false" outlineLevel="0" collapsed="false">
      <c r="B23" s="18" t="s">
        <v>80</v>
      </c>
      <c r="E23" s="13" t="n">
        <f aca="false">E20+E22</f>
        <v>93336875</v>
      </c>
      <c r="F23" s="13" t="n">
        <f aca="false">F20+F22</f>
        <v>84066612.5</v>
      </c>
      <c r="G23" s="13" t="n">
        <f aca="false">G20+G22</f>
        <v>79001750</v>
      </c>
      <c r="H23" s="13" t="n">
        <f aca="false">H20+H22</f>
        <v>73153750</v>
      </c>
      <c r="I23" s="13" t="n">
        <f aca="false">I20+I22</f>
        <v>36729990.98025</v>
      </c>
    </row>
    <row r="25" customFormat="false" ht="15" hidden="false" customHeight="false" outlineLevel="0" collapsed="false">
      <c r="B25" s="18" t="s">
        <v>81</v>
      </c>
    </row>
    <row r="26" customFormat="false" ht="15" hidden="false" customHeight="false" outlineLevel="0" collapsed="false">
      <c r="B26" s="5" t="s">
        <v>82</v>
      </c>
      <c r="E26" s="22" t="n">
        <v>86825000</v>
      </c>
      <c r="F26" s="22" t="n">
        <v>78201500</v>
      </c>
      <c r="G26" s="22" t="n">
        <v>73490000</v>
      </c>
      <c r="H26" s="22" t="n">
        <v>68050000</v>
      </c>
      <c r="I26" s="22" t="n">
        <v>34167433.47</v>
      </c>
    </row>
    <row r="27" customFormat="false" ht="15" hidden="false" customHeight="false" outlineLevel="0" collapsed="false">
      <c r="B27" s="5" t="s">
        <v>83</v>
      </c>
      <c r="E27" s="33" t="n">
        <f aca="false">E20-E26</f>
        <v>0</v>
      </c>
      <c r="F27" s="33" t="n">
        <f aca="false">F20-F26</f>
        <v>0</v>
      </c>
      <c r="G27" s="33" t="n">
        <f aca="false">G20-G26</f>
        <v>0</v>
      </c>
      <c r="H27" s="33" t="n">
        <f aca="false">H20-H26</f>
        <v>0</v>
      </c>
      <c r="I27" s="33" t="n">
        <f aca="false">I20-I26</f>
        <v>0</v>
      </c>
      <c r="M27" s="30" t="s">
        <v>84</v>
      </c>
    </row>
    <row r="28" customFormat="false" ht="15" hidden="false" customHeight="false" outlineLevel="0" collapsed="false">
      <c r="B28" s="18" t="s">
        <v>85</v>
      </c>
    </row>
    <row r="29" customFormat="false" ht="15" hidden="false" customHeight="false" outlineLevel="0" collapsed="false">
      <c r="B29" s="34" t="s">
        <v>86</v>
      </c>
      <c r="C29" s="34" t="s">
        <v>87</v>
      </c>
      <c r="E29" s="34" t="s">
        <v>88</v>
      </c>
    </row>
    <row r="30" customFormat="false" ht="15" hidden="false" customHeight="false" outlineLevel="0" collapsed="false">
      <c r="B30" s="5" t="s">
        <v>7</v>
      </c>
      <c r="C30" s="5" t="s">
        <v>89</v>
      </c>
      <c r="E30" s="22" t="n">
        <v>125460.58</v>
      </c>
    </row>
    <row r="32" customFormat="false" ht="27.75" hidden="false" customHeight="true" outlineLevel="0" collapsed="false">
      <c r="B32" s="35" t="s">
        <v>90</v>
      </c>
      <c r="C32" s="35"/>
      <c r="D32" s="35"/>
      <c r="E32" s="35"/>
      <c r="F32" s="35"/>
      <c r="G32" s="35"/>
      <c r="H32" s="35"/>
      <c r="I32" s="35"/>
      <c r="J32" s="35"/>
      <c r="K32" s="35"/>
      <c r="L32" s="35"/>
      <c r="M32" s="35"/>
    </row>
  </sheetData>
  <mergeCells count="1">
    <mergeCell ref="B32:M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7"/>
    <col collapsed="false" customWidth="true" hidden="false" outlineLevel="0" max="9" min="4" style="0" width="15"/>
    <col collapsed="false" customWidth="true" hidden="false" outlineLevel="0" max="10" min="10" style="0" width="10"/>
    <col collapsed="false" customWidth="true" hidden="false" outlineLevel="0" max="11" min="11" style="0" width="46"/>
    <col collapsed="false" customWidth="true" hidden="false" outlineLevel="0" max="12" min="12" style="0" width="4"/>
  </cols>
  <sheetData>
    <row r="1" customFormat="false" ht="17.35" hidden="false" customHeight="false" outlineLevel="0" collapsed="false">
      <c r="A1" s="1" t="s">
        <v>91</v>
      </c>
    </row>
    <row r="2" customFormat="false" ht="15" hidden="false" customHeight="false" outlineLevel="0" collapsed="false">
      <c r="A2" s="2" t="s">
        <v>92</v>
      </c>
    </row>
    <row r="3" customFormat="false" ht="15" hidden="false" customHeight="false" outlineLevel="0" collapsed="false">
      <c r="A3" s="3" t="s">
        <v>93</v>
      </c>
    </row>
    <row r="5" customFormat="false" ht="42" hidden="false" customHeight="true" outlineLevel="0" collapsed="false">
      <c r="A5" s="4" t="s">
        <v>42</v>
      </c>
      <c r="B5" s="4" t="s">
        <v>94</v>
      </c>
      <c r="C5" s="4" t="s">
        <v>44</v>
      </c>
      <c r="D5" s="4"/>
      <c r="E5" s="4" t="s">
        <v>3</v>
      </c>
      <c r="F5" s="4" t="s">
        <v>4</v>
      </c>
      <c r="G5" s="4" t="s">
        <v>5</v>
      </c>
      <c r="H5" s="4" t="s">
        <v>6</v>
      </c>
      <c r="I5" s="4" t="s">
        <v>7</v>
      </c>
      <c r="J5" s="4" t="s">
        <v>95</v>
      </c>
      <c r="K5" s="4" t="s">
        <v>96</v>
      </c>
      <c r="L5" s="4" t="s">
        <v>97</v>
      </c>
    </row>
    <row r="6" customFormat="false" ht="30" hidden="false" customHeight="true" outlineLevel="0" collapsed="false">
      <c r="A6" s="8" t="n">
        <v>1</v>
      </c>
      <c r="B6" s="20" t="s">
        <v>50</v>
      </c>
      <c r="C6" s="36" t="n">
        <f aca="false">'Bid Tab'!C6</f>
        <v>1</v>
      </c>
      <c r="E6" s="10" t="n">
        <f aca="false">IF('Bid Tab'!E6="","",IFERROR('Bid Tab'!E6/'Bid Tab'!$C$6,""))</f>
        <v>7000000</v>
      </c>
      <c r="F6" s="10" t="n">
        <f aca="false">IF('Bid Tab'!F6="","",IFERROR('Bid Tab'!F6/'Bid Tab'!$C$6,""))</f>
        <v>5100000</v>
      </c>
      <c r="G6" s="10" t="n">
        <f aca="false">IF('Bid Tab'!G6="","",IFERROR('Bid Tab'!G6/'Bid Tab'!$C$6,""))</f>
        <v>5500000</v>
      </c>
      <c r="H6" s="10" t="n">
        <f aca="false">IF('Bid Tab'!H6="","",IFERROR('Bid Tab'!H6/'Bid Tab'!$C$6,""))</f>
        <v>3200000</v>
      </c>
      <c r="I6" s="10" t="n">
        <f aca="false">IF('Bid Tab'!I6="","",IFERROR('Bid Tab'!I6/'Bid Tab'!$C$6,""))</f>
        <v>3006479.77</v>
      </c>
      <c r="J6" s="10" t="n">
        <f aca="false">MEDIAN(E6:H6)</f>
        <v>5300000</v>
      </c>
      <c r="K6" s="37" t="n">
        <f aca="false">IFERROR(MAX(E6:H6)/MIN(E6:H6),"")</f>
        <v>2.1875</v>
      </c>
      <c r="L6" s="16"/>
    </row>
    <row r="7" customFormat="false" ht="30" hidden="false" customHeight="true" outlineLevel="0" collapsed="false">
      <c r="A7" s="23" t="n">
        <v>2</v>
      </c>
      <c r="B7" s="24" t="s">
        <v>53</v>
      </c>
      <c r="C7" s="38" t="n">
        <f aca="false">'Bid Tab'!C7</f>
        <v>385</v>
      </c>
      <c r="D7" s="39"/>
      <c r="E7" s="27" t="n">
        <f aca="false">IF('Bid Tab'!E7="","",IFERROR('Bid Tab'!E7/'Bid Tab'!$C$7,""))</f>
        <v>71000</v>
      </c>
      <c r="F7" s="27" t="n">
        <f aca="false">IF('Bid Tab'!F7="","",IFERROR('Bid Tab'!F7/'Bid Tab'!$C$7,""))</f>
        <v>76000</v>
      </c>
      <c r="G7" s="27" t="n">
        <f aca="false">IF('Bid Tab'!G7="","",IFERROR('Bid Tab'!G7/'Bid Tab'!$C$7,""))</f>
        <v>57000</v>
      </c>
      <c r="H7" s="27" t="n">
        <f aca="false">IF('Bid Tab'!H7="","",IFERROR('Bid Tab'!H7/'Bid Tab'!$C$7,""))</f>
        <v>75000</v>
      </c>
      <c r="I7" s="27" t="n">
        <f aca="false">IF('Bid Tab'!I7="","",IFERROR('Bid Tab'!I7/'Bid Tab'!$C$7,""))</f>
        <v>20639.1339220779</v>
      </c>
      <c r="J7" s="27" t="n">
        <f aca="false">MEDIAN(E7:H7)</f>
        <v>73000</v>
      </c>
      <c r="K7" s="40" t="n">
        <f aca="false">IFERROR(MAX(E7:H7)/MIN(E7:H7),"")</f>
        <v>1.33333333333333</v>
      </c>
      <c r="L7" s="28" t="s">
        <v>98</v>
      </c>
    </row>
    <row r="8" customFormat="false" ht="30" hidden="false" customHeight="true" outlineLevel="0" collapsed="false">
      <c r="A8" s="8" t="n">
        <v>3</v>
      </c>
      <c r="B8" s="20" t="s">
        <v>55</v>
      </c>
      <c r="C8" s="36" t="n">
        <f aca="false">'Bid Tab'!C8</f>
        <v>60</v>
      </c>
      <c r="E8" s="10" t="n">
        <f aca="false">IF('Bid Tab'!E8="","",IFERROR('Bid Tab'!E8/'Bid Tab'!$C$8,""))</f>
        <v>71000</v>
      </c>
      <c r="F8" s="10" t="n">
        <f aca="false">IF('Bid Tab'!F8="","",IFERROR('Bid Tab'!F8/'Bid Tab'!$C$8,""))</f>
        <v>73600</v>
      </c>
      <c r="G8" s="10" t="n">
        <f aca="false">IF('Bid Tab'!G8="","",IFERROR('Bid Tab'!G8/'Bid Tab'!$C$8,""))</f>
        <v>57000</v>
      </c>
      <c r="H8" s="10" t="n">
        <f aca="false">IF('Bid Tab'!H8="","",IFERROR('Bid Tab'!H8/'Bid Tab'!$C$8,""))</f>
        <v>75000</v>
      </c>
      <c r="I8" s="10" t="n">
        <f aca="false">IF('Bid Tab'!I8="","",IFERROR('Bid Tab'!I8/'Bid Tab'!$C$8,""))</f>
        <v>19702.244</v>
      </c>
      <c r="J8" s="10" t="n">
        <f aca="false">MEDIAN(E8:H8)</f>
        <v>72300</v>
      </c>
      <c r="K8" s="37" t="n">
        <f aca="false">IFERROR(MAX(E8:H8)/MIN(E8:H8),"")</f>
        <v>1.31578947368421</v>
      </c>
      <c r="L8" s="16"/>
    </row>
    <row r="9" customFormat="false" ht="30" hidden="false" customHeight="true" outlineLevel="0" collapsed="false">
      <c r="A9" s="23" t="n">
        <v>4</v>
      </c>
      <c r="B9" s="24" t="s">
        <v>57</v>
      </c>
      <c r="C9" s="38" t="n">
        <f aca="false">'Bid Tab'!C9</f>
        <v>35</v>
      </c>
      <c r="D9" s="39"/>
      <c r="E9" s="27" t="n">
        <f aca="false">IF('Bid Tab'!E9="","",IFERROR('Bid Tab'!E9/'Bid Tab'!$C$9,""))</f>
        <v>98000</v>
      </c>
      <c r="F9" s="27" t="n">
        <f aca="false">IF('Bid Tab'!F9="","",IFERROR('Bid Tab'!F9/'Bid Tab'!$C$9,""))</f>
        <v>130900</v>
      </c>
      <c r="G9" s="27" t="n">
        <f aca="false">IF('Bid Tab'!G9="","",IFERROR('Bid Tab'!G9/'Bid Tab'!$C$9,""))</f>
        <v>95000</v>
      </c>
      <c r="H9" s="27" t="n">
        <f aca="false">IF('Bid Tab'!H9="","",IFERROR('Bid Tab'!H9/'Bid Tab'!$C$9,""))</f>
        <v>105000</v>
      </c>
      <c r="I9" s="27" t="n">
        <f aca="false">IF('Bid Tab'!I9="","",IFERROR('Bid Tab'!I9/'Bid Tab'!$C$9,""))</f>
        <v>26205.3622857143</v>
      </c>
      <c r="J9" s="27" t="n">
        <f aca="false">MEDIAN(E9:H9)</f>
        <v>101500</v>
      </c>
      <c r="K9" s="40" t="n">
        <f aca="false">IFERROR(MAX(E9:H9)/MIN(E9:H9),"")</f>
        <v>1.37789473684211</v>
      </c>
      <c r="L9" s="28"/>
    </row>
    <row r="10" customFormat="false" ht="30" hidden="false" customHeight="true" outlineLevel="0" collapsed="false">
      <c r="A10" s="8" t="n">
        <v>5</v>
      </c>
      <c r="B10" s="20" t="s">
        <v>59</v>
      </c>
      <c r="C10" s="36" t="n">
        <f aca="false">'Bid Tab'!C10</f>
        <v>60</v>
      </c>
      <c r="E10" s="10" t="n">
        <f aca="false">IF('Bid Tab'!E10="","",IFERROR('Bid Tab'!E10/'Bid Tab'!$C$10,""))</f>
        <v>95000</v>
      </c>
      <c r="F10" s="10" t="n">
        <f aca="false">IF('Bid Tab'!F10="","",IFERROR('Bid Tab'!F10/'Bid Tab'!$C$10,""))</f>
        <v>119900</v>
      </c>
      <c r="G10" s="10" t="n">
        <f aca="false">IF('Bid Tab'!G10="","",IFERROR('Bid Tab'!G10/'Bid Tab'!$C$10,""))</f>
        <v>90000</v>
      </c>
      <c r="H10" s="10" t="n">
        <f aca="false">IF('Bid Tab'!H10="","",IFERROR('Bid Tab'!H10/'Bid Tab'!$C$10,""))</f>
        <v>145000</v>
      </c>
      <c r="I10" s="10" t="n">
        <f aca="false">IF('Bid Tab'!I10="","",IFERROR('Bid Tab'!I10/'Bid Tab'!$C$10,""))</f>
        <v>27087.141</v>
      </c>
      <c r="J10" s="10" t="n">
        <f aca="false">MEDIAN(E10:H10)</f>
        <v>107450</v>
      </c>
      <c r="K10" s="37" t="n">
        <f aca="false">IFERROR(MAX(E10:H10)/MIN(E10:H10),"")</f>
        <v>1.61111111111111</v>
      </c>
      <c r="L10" s="16"/>
    </row>
    <row r="11" customFormat="false" ht="30" hidden="false" customHeight="true" outlineLevel="0" collapsed="false">
      <c r="A11" s="23" t="n">
        <v>6</v>
      </c>
      <c r="B11" s="24" t="s">
        <v>60</v>
      </c>
      <c r="C11" s="38" t="n">
        <f aca="false">'Bid Tab'!C11</f>
        <v>20</v>
      </c>
      <c r="D11" s="39"/>
      <c r="E11" s="27" t="n">
        <f aca="false">IF('Bid Tab'!E11="","",IFERROR('Bid Tab'!E11/'Bid Tab'!$C$11,""))</f>
        <v>400000</v>
      </c>
      <c r="F11" s="27" t="n">
        <f aca="false">IF('Bid Tab'!F11="","",IFERROR('Bid Tab'!F11/'Bid Tab'!$C$11,""))</f>
        <v>134500</v>
      </c>
      <c r="G11" s="27" t="n">
        <f aca="false">IF('Bid Tab'!G11="","",IFERROR('Bid Tab'!G11/'Bid Tab'!$C$11,""))</f>
        <v>300000</v>
      </c>
      <c r="H11" s="27" t="n">
        <f aca="false">IF('Bid Tab'!H11="","",IFERROR('Bid Tab'!H11/'Bid Tab'!$C$11,""))</f>
        <v>165000</v>
      </c>
      <c r="I11" s="27" t="n">
        <f aca="false">IF('Bid Tab'!I11="","",IFERROR('Bid Tab'!I11/'Bid Tab'!$C$11,""))</f>
        <v>45136.05</v>
      </c>
      <c r="J11" s="27" t="n">
        <f aca="false">MEDIAN(E11:H11)</f>
        <v>232500</v>
      </c>
      <c r="K11" s="40" t="n">
        <f aca="false">IFERROR(MAX(E11:H11)/MIN(E11:H11),"")</f>
        <v>2.97397769516729</v>
      </c>
      <c r="L11" s="28"/>
    </row>
    <row r="12" customFormat="false" ht="30" hidden="false" customHeight="true" outlineLevel="0" collapsed="false">
      <c r="A12" s="8" t="n">
        <v>7</v>
      </c>
      <c r="B12" s="20" t="s">
        <v>61</v>
      </c>
      <c r="C12" s="36" t="n">
        <f aca="false">'Bid Tab'!C12</f>
        <v>30</v>
      </c>
      <c r="E12" s="10" t="n">
        <f aca="false">IF('Bid Tab'!E12="","",IFERROR('Bid Tab'!E12/'Bid Tab'!$C$12,""))</f>
        <v>210000</v>
      </c>
      <c r="F12" s="10" t="n">
        <f aca="false">IF('Bid Tab'!F12="","",IFERROR('Bid Tab'!F12/'Bid Tab'!$C$12,""))</f>
        <v>148000</v>
      </c>
      <c r="G12" s="10" t="n">
        <f aca="false">IF('Bid Tab'!G12="","",IFERROR('Bid Tab'!G12/'Bid Tab'!$C$12,""))</f>
        <v>150000</v>
      </c>
      <c r="H12" s="10" t="n">
        <f aca="false">IF('Bid Tab'!H12="","",IFERROR('Bid Tab'!H12/'Bid Tab'!$C$12,""))</f>
        <v>205000</v>
      </c>
      <c r="I12" s="10" t="n">
        <f aca="false">IF('Bid Tab'!I12="","",IFERROR('Bid Tab'!I12/'Bid Tab'!$C$12,""))</f>
        <v>220000</v>
      </c>
      <c r="J12" s="10" t="n">
        <f aca="false">MEDIAN(E12:H12)</f>
        <v>177500</v>
      </c>
      <c r="K12" s="37" t="n">
        <f aca="false">IFERROR(MAX(E12:H12)/MIN(E12:H12),"")</f>
        <v>1.41891891891892</v>
      </c>
      <c r="L12" s="16"/>
    </row>
    <row r="13" customFormat="false" ht="30" hidden="false" customHeight="true" outlineLevel="0" collapsed="false">
      <c r="A13" s="23" t="n">
        <v>8</v>
      </c>
      <c r="B13" s="24" t="s">
        <v>63</v>
      </c>
      <c r="C13" s="38" t="n">
        <f aca="false">'Bid Tab'!C13</f>
        <v>1</v>
      </c>
      <c r="D13" s="39"/>
      <c r="E13" s="27" t="n">
        <f aca="false">IF('Bid Tab'!E13="","",IFERROR('Bid Tab'!E13/'Bid Tab'!$C$13,""))</f>
        <v>1000000</v>
      </c>
      <c r="F13" s="27" t="n">
        <f aca="false">IF('Bid Tab'!F13="","",IFERROR('Bid Tab'!F13/'Bid Tab'!$C$13,""))</f>
        <v>5150000</v>
      </c>
      <c r="G13" s="27" t="n">
        <f aca="false">IF('Bid Tab'!G13="","",IFERROR('Bid Tab'!G13/'Bid Tab'!$C$13,""))</f>
        <v>600000</v>
      </c>
      <c r="H13" s="27" t="n">
        <f aca="false">IF('Bid Tab'!H13="","",IFERROR('Bid Tab'!H13/'Bid Tab'!$C$13,""))</f>
        <v>500000</v>
      </c>
      <c r="I13" s="27" t="n">
        <f aca="false">IF('Bid Tab'!I13="","",IFERROR('Bid Tab'!I13/'Bid Tab'!$C$13,""))</f>
        <v>1000000</v>
      </c>
      <c r="J13" s="27" t="n">
        <f aca="false">MEDIAN(E13:H13)</f>
        <v>800000</v>
      </c>
      <c r="K13" s="40" t="n">
        <f aca="false">IFERROR(MAX(E13:H13)/MIN(E13:H13),"")</f>
        <v>10.3</v>
      </c>
      <c r="L13" s="28"/>
    </row>
    <row r="14" customFormat="false" ht="30" hidden="false" customHeight="true" outlineLevel="0" collapsed="false">
      <c r="A14" s="8" t="n">
        <v>9</v>
      </c>
      <c r="B14" s="20" t="s">
        <v>65</v>
      </c>
      <c r="C14" s="36" t="n">
        <f aca="false">'Bid Tab'!C14</f>
        <v>4</v>
      </c>
      <c r="E14" s="10" t="n">
        <f aca="false">IF('Bid Tab'!E14="","",IFERROR('Bid Tab'!E14/'Bid Tab'!$C$14,""))</f>
        <v>375000</v>
      </c>
      <c r="F14" s="10" t="n">
        <f aca="false">IF('Bid Tab'!F14="","",IFERROR('Bid Tab'!F14/'Bid Tab'!$C$14,""))</f>
        <v>450000</v>
      </c>
      <c r="G14" s="10" t="n">
        <f aca="false">IF('Bid Tab'!G14="","",IFERROR('Bid Tab'!G14/'Bid Tab'!$C$14,""))</f>
        <v>450000</v>
      </c>
      <c r="H14" s="10" t="n">
        <f aca="false">IF('Bid Tab'!H14="","",IFERROR('Bid Tab'!H14/'Bid Tab'!$C$14,""))</f>
        <v>385000</v>
      </c>
      <c r="I14" s="10" t="n">
        <f aca="false">IF('Bid Tab'!I14="","",IFERROR('Bid Tab'!I14/'Bid Tab'!$C$14,""))</f>
        <v>75274.9725</v>
      </c>
      <c r="J14" s="10" t="n">
        <f aca="false">MEDIAN(E14:H14)</f>
        <v>417500</v>
      </c>
      <c r="K14" s="37" t="n">
        <f aca="false">IFERROR(MAX(E14:H14)/MIN(E14:H14),"")</f>
        <v>1.2</v>
      </c>
      <c r="L14" s="16" t="s">
        <v>99</v>
      </c>
    </row>
    <row r="15" customFormat="false" ht="30" hidden="false" customHeight="true" outlineLevel="0" collapsed="false">
      <c r="A15" s="23" t="n">
        <v>10</v>
      </c>
      <c r="B15" s="24" t="s">
        <v>67</v>
      </c>
      <c r="C15" s="38" t="n">
        <f aca="false">'Bid Tab'!C15</f>
        <v>1</v>
      </c>
      <c r="D15" s="39"/>
      <c r="E15" s="27" t="n">
        <f aca="false">IF('Bid Tab'!E15="","",IFERROR('Bid Tab'!E15/'Bid Tab'!$C$15,""))</f>
        <v>3000000</v>
      </c>
      <c r="F15" s="27" t="n">
        <f aca="false">IF('Bid Tab'!F15="","",IFERROR('Bid Tab'!F15/'Bid Tab'!$C$15,""))</f>
        <v>3450000</v>
      </c>
      <c r="G15" s="27" t="n">
        <f aca="false">IF('Bid Tab'!G15="","",IFERROR('Bid Tab'!G15/'Bid Tab'!$C$15,""))</f>
        <v>3500000</v>
      </c>
      <c r="H15" s="27" t="str">
        <f aca="false">IF('Bid Tab'!H15="","",IFERROR('Bid Tab'!H15/'Bid Tab'!$C$15,""))</f>
        <v/>
      </c>
      <c r="I15" s="27" t="n">
        <f aca="false">IF('Bid Tab'!I15="","",IFERROR('Bid Tab'!I15/'Bid Tab'!$C$15,""))</f>
        <v>879271.19</v>
      </c>
      <c r="J15" s="27" t="n">
        <f aca="false">MEDIAN(E15:H15)</f>
        <v>3450000</v>
      </c>
      <c r="K15" s="40" t="n">
        <f aca="false">IFERROR(MAX(E15:H15)/MIN(E15:H15),"")</f>
        <v>1.16666666666667</v>
      </c>
      <c r="L15" s="28"/>
    </row>
    <row r="16" customFormat="false" ht="30" hidden="false" customHeight="true" outlineLevel="0" collapsed="false">
      <c r="A16" s="8" t="n">
        <v>11</v>
      </c>
      <c r="B16" s="20" t="s">
        <v>69</v>
      </c>
      <c r="C16" s="36" t="n">
        <f aca="false">'Bid Tab'!C16</f>
        <v>1</v>
      </c>
      <c r="E16" s="10" t="n">
        <f aca="false">IF('Bid Tab'!E16="","",IFERROR('Bid Tab'!E16/'Bid Tab'!$C$16,""))</f>
        <v>800000</v>
      </c>
      <c r="F16" s="10" t="n">
        <f aca="false">IF('Bid Tab'!F16="","",IFERROR('Bid Tab'!F16/'Bid Tab'!$C$16,""))</f>
        <v>620000</v>
      </c>
      <c r="G16" s="10" t="n">
        <f aca="false">IF('Bid Tab'!G16="","",IFERROR('Bid Tab'!G16/'Bid Tab'!$C$16,""))</f>
        <v>1000000</v>
      </c>
      <c r="H16" s="10" t="n">
        <f aca="false">IF('Bid Tab'!H16="","",IFERROR('Bid Tab'!H16/'Bid Tab'!$C$16,""))</f>
        <v>110000</v>
      </c>
      <c r="I16" s="10" t="n">
        <f aca="false">IF('Bid Tab'!I16="","",IFERROR('Bid Tab'!I16/'Bid Tab'!$C$16,""))</f>
        <v>104683.67</v>
      </c>
      <c r="J16" s="10" t="n">
        <f aca="false">MEDIAN(E16:H16)</f>
        <v>710000</v>
      </c>
      <c r="K16" s="37" t="n">
        <f aca="false">IFERROR(MAX(E16:H16)/MIN(E16:H16),"")</f>
        <v>9.09090909090909</v>
      </c>
      <c r="L16" s="16"/>
    </row>
    <row r="17" customFormat="false" ht="30" hidden="false" customHeight="true" outlineLevel="0" collapsed="false">
      <c r="A17" s="23" t="n">
        <v>12</v>
      </c>
      <c r="B17" s="24" t="s">
        <v>70</v>
      </c>
      <c r="C17" s="38" t="n">
        <f aca="false">'Bid Tab'!C17</f>
        <v>1</v>
      </c>
      <c r="D17" s="39"/>
      <c r="E17" s="27" t="n">
        <f aca="false">IF('Bid Tab'!E17="","",IFERROR('Bid Tab'!E17/'Bid Tab'!$C$17,""))</f>
        <v>3500000</v>
      </c>
      <c r="F17" s="27" t="n">
        <f aca="false">IF('Bid Tab'!F17="","",IFERROR('Bid Tab'!F17/'Bid Tab'!$C$17,""))</f>
        <v>5300000</v>
      </c>
      <c r="G17" s="27" t="n">
        <f aca="false">IF('Bid Tab'!G17="","",IFERROR('Bid Tab'!G17/'Bid Tab'!$C$17,""))</f>
        <v>4000000</v>
      </c>
      <c r="H17" s="27" t="n">
        <f aca="false">IF('Bid Tab'!H17="","",IFERROR('Bid Tab'!H17/'Bid Tab'!$C$17,""))</f>
        <v>500000</v>
      </c>
      <c r="I17" s="27" t="n">
        <f aca="false">IF('Bid Tab'!I17="","",IFERROR('Bid Tab'!I17/'Bid Tab'!$C$17,""))</f>
        <v>1000000</v>
      </c>
      <c r="J17" s="27" t="n">
        <f aca="false">MEDIAN(E17:H17)</f>
        <v>3750000</v>
      </c>
      <c r="K17" s="40" t="n">
        <f aca="false">IFERROR(MAX(E17:H17)/MIN(E17:H17),"")</f>
        <v>10.6</v>
      </c>
      <c r="L17" s="28"/>
    </row>
    <row r="18" customFormat="false" ht="30" hidden="false" customHeight="true" outlineLevel="0" collapsed="false">
      <c r="A18" s="8" t="n">
        <v>13</v>
      </c>
      <c r="B18" s="20" t="s">
        <v>71</v>
      </c>
      <c r="C18" s="36" t="n">
        <f aca="false">'Bid Tab'!C18</f>
        <v>1</v>
      </c>
      <c r="E18" s="10" t="n">
        <f aca="false">IF('Bid Tab'!E18="","",IFERROR('Bid Tab'!E18/'Bid Tab'!$C$18,""))</f>
        <v>15000000</v>
      </c>
      <c r="F18" s="10" t="n">
        <f aca="false">IF('Bid Tab'!F18="","",IFERROR('Bid Tab'!F18/'Bid Tab'!$C$18,""))</f>
        <v>4200000</v>
      </c>
      <c r="G18" s="10" t="n">
        <f aca="false">IF('Bid Tab'!G18="","",IFERROR('Bid Tab'!G18/'Bid Tab'!$C$18,""))</f>
        <v>12500000</v>
      </c>
      <c r="H18" s="10" t="n">
        <f aca="false">IF('Bid Tab'!H18="","",IFERROR('Bid Tab'!H18/'Bid Tab'!$C$18,""))</f>
        <v>7000000</v>
      </c>
      <c r="I18" s="10" t="n">
        <f aca="false">IF('Bid Tab'!I18="","",IFERROR('Bid Tab'!I18/'Bid Tab'!$C$18,""))</f>
        <v>8577100.03</v>
      </c>
      <c r="J18" s="10" t="n">
        <f aca="false">MEDIAN(E18:H18)</f>
        <v>9750000</v>
      </c>
      <c r="K18" s="37" t="n">
        <f aca="false">IFERROR(MAX(E18:H18)/MIN(E18:H18),"")</f>
        <v>3.57142857142857</v>
      </c>
      <c r="L18" s="16"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7" min="3" style="0" width="16"/>
    <col collapsed="false" customWidth="true" hidden="false" outlineLevel="0" max="8" min="8" style="0" width="58"/>
  </cols>
  <sheetData>
    <row r="1" customFormat="false" ht="17.35" hidden="false" customHeight="false" outlineLevel="0" collapsed="false">
      <c r="A1" s="1" t="s">
        <v>101</v>
      </c>
    </row>
    <row r="2" customFormat="false" ht="15" hidden="false" customHeight="false" outlineLevel="0" collapsed="false">
      <c r="A2" s="2" t="s">
        <v>102</v>
      </c>
    </row>
    <row r="3" customFormat="false" ht="15" hidden="false" customHeight="false" outlineLevel="0" collapsed="false">
      <c r="A3" s="3" t="s">
        <v>103</v>
      </c>
    </row>
    <row r="5" customFormat="false" ht="39.75" hidden="false" customHeight="true" outlineLevel="0" collapsed="false">
      <c r="A5" s="4" t="s">
        <v>104</v>
      </c>
      <c r="B5" s="4" t="s">
        <v>105</v>
      </c>
      <c r="C5" s="4" t="s">
        <v>3</v>
      </c>
      <c r="D5" s="4" t="s">
        <v>4</v>
      </c>
      <c r="E5" s="4" t="s">
        <v>5</v>
      </c>
      <c r="F5" s="4" t="s">
        <v>6</v>
      </c>
      <c r="G5" s="4" t="s">
        <v>7</v>
      </c>
      <c r="H5" s="4" t="s">
        <v>106</v>
      </c>
    </row>
    <row r="6" customFormat="false" ht="15" hidden="false" customHeight="false" outlineLevel="0" collapsed="false">
      <c r="A6" s="14" t="s">
        <v>107</v>
      </c>
      <c r="B6" s="5" t="s">
        <v>18</v>
      </c>
      <c r="C6" s="10" t="n">
        <f aca="false">'Bid Tab'!E20</f>
        <v>86825000</v>
      </c>
      <c r="D6" s="10" t="n">
        <f aca="false">'Bid Tab'!F20</f>
        <v>78201500</v>
      </c>
      <c r="E6" s="10" t="n">
        <f aca="false">'Bid Tab'!G20</f>
        <v>73490000</v>
      </c>
      <c r="F6" s="10" t="n">
        <f aca="false">'Bid Tab'!H20</f>
        <v>68050000</v>
      </c>
      <c r="G6" s="10" t="n">
        <f aca="false">'Bid Tab'!I20</f>
        <v>34167433.47</v>
      </c>
      <c r="H6" s="16" t="s">
        <v>108</v>
      </c>
    </row>
    <row r="7" customFormat="false" ht="43.5" hidden="false" customHeight="true" outlineLevel="0" collapsed="false">
      <c r="A7" s="14" t="s">
        <v>109</v>
      </c>
      <c r="B7" s="5" t="s">
        <v>110</v>
      </c>
      <c r="C7" s="22" t="n">
        <v>-300000</v>
      </c>
      <c r="D7" s="22" t="n">
        <v>0</v>
      </c>
      <c r="E7" s="22" t="n">
        <v>0</v>
      </c>
      <c r="F7" s="22" t="n">
        <v>0</v>
      </c>
      <c r="G7" s="22" t="n">
        <v>0</v>
      </c>
      <c r="H7" s="16" t="s">
        <v>111</v>
      </c>
    </row>
    <row r="8" customFormat="false" ht="43.5" hidden="false" customHeight="true" outlineLevel="0" collapsed="false">
      <c r="A8" s="14" t="s">
        <v>112</v>
      </c>
      <c r="B8" s="5" t="s">
        <v>113</v>
      </c>
      <c r="C8" s="10" t="n">
        <v>0</v>
      </c>
      <c r="D8" s="10" t="n">
        <v>0</v>
      </c>
      <c r="E8" s="10" t="n">
        <v>0</v>
      </c>
      <c r="F8" s="41" t="n">
        <f aca="false">MEDIAN('Bid Tab'!E15,'Bid Tab'!F15,'Bid Tab'!G15)</f>
        <v>3450000</v>
      </c>
      <c r="G8" s="41" t="n">
        <f aca="false">'Bid Tab'!I14*3</f>
        <v>903299.67</v>
      </c>
      <c r="H8" s="16" t="s">
        <v>114</v>
      </c>
    </row>
    <row r="9" customFormat="false" ht="15" hidden="false" customHeight="false" outlineLevel="0" collapsed="false">
      <c r="A9" s="14" t="s">
        <v>115</v>
      </c>
      <c r="B9" s="11" t="s">
        <v>116</v>
      </c>
      <c r="C9" s="29" t="n">
        <f aca="false">SUM(C6:C8)</f>
        <v>86525000</v>
      </c>
      <c r="D9" s="29" t="n">
        <f aca="false">SUM(D6:D8)</f>
        <v>78201500</v>
      </c>
      <c r="E9" s="29" t="n">
        <f aca="false">SUM(E6:E8)</f>
        <v>73490000</v>
      </c>
      <c r="F9" s="29" t="n">
        <f aca="false">SUM(F6:F8)</f>
        <v>71500000</v>
      </c>
      <c r="G9" s="29" t="n">
        <f aca="false">SUM(G6:G8)</f>
        <v>35070733.14</v>
      </c>
      <c r="H9" s="16" t="s">
        <v>117</v>
      </c>
    </row>
    <row r="10" customFormat="false" ht="15" hidden="false" customHeight="false" outlineLevel="0" collapsed="false">
      <c r="A10" s="14" t="s">
        <v>118</v>
      </c>
      <c r="B10" s="5" t="s">
        <v>119</v>
      </c>
      <c r="C10" s="10" t="n">
        <f aca="false">C9*'Bid Tab'!$E$21</f>
        <v>6489375</v>
      </c>
      <c r="D10" s="10" t="n">
        <f aca="false">D9*'Bid Tab'!$E$21</f>
        <v>5865112.5</v>
      </c>
      <c r="E10" s="10" t="n">
        <f aca="false">E9*'Bid Tab'!$E$21</f>
        <v>5511750</v>
      </c>
      <c r="F10" s="10" t="n">
        <f aca="false">F9*'Bid Tab'!$E$21</f>
        <v>5362500</v>
      </c>
      <c r="G10" s="10" t="n">
        <f aca="false">G9*'Bid Tab'!$E$21</f>
        <v>2630304.9855</v>
      </c>
      <c r="H10" s="16" t="s">
        <v>120</v>
      </c>
    </row>
    <row r="11" customFormat="false" ht="15" hidden="false" customHeight="false" outlineLevel="0" collapsed="false">
      <c r="A11" s="14" t="s">
        <v>121</v>
      </c>
      <c r="B11" s="11" t="s">
        <v>22</v>
      </c>
      <c r="C11" s="13" t="n">
        <f aca="false">C9+C10</f>
        <v>93014375</v>
      </c>
      <c r="D11" s="13" t="n">
        <f aca="false">D9+D10</f>
        <v>84066612.5</v>
      </c>
      <c r="E11" s="13" t="n">
        <f aca="false">E9+E10</f>
        <v>79001750</v>
      </c>
      <c r="F11" s="13" t="n">
        <f aca="false">F9+F10</f>
        <v>76862500</v>
      </c>
      <c r="G11" s="13" t="n">
        <f aca="false">G9+G10</f>
        <v>37701038.1255</v>
      </c>
      <c r="H11" s="16" t="s">
        <v>122</v>
      </c>
    </row>
    <row r="13" customFormat="false" ht="15" hidden="false" customHeight="false" outlineLevel="0" collapsed="false">
      <c r="B13" s="5" t="s">
        <v>123</v>
      </c>
      <c r="C13" s="10" t="n">
        <f aca="false">C11-'Bid Tab'!E23</f>
        <v>-322500</v>
      </c>
      <c r="D13" s="10" t="n">
        <f aca="false">D11-'Bid Tab'!F23</f>
        <v>0</v>
      </c>
      <c r="E13" s="10" t="n">
        <f aca="false">E11-'Bid Tab'!G23</f>
        <v>0</v>
      </c>
      <c r="F13" s="10" t="n">
        <f aca="false">F11-'Bid Tab'!H23</f>
        <v>3708750</v>
      </c>
      <c r="G13" s="10" t="n">
        <f aca="false">G11-'Bid Tab'!I23</f>
        <v>971047.14525</v>
      </c>
      <c r="H13" s="16" t="s">
        <v>124</v>
      </c>
    </row>
    <row r="14" customFormat="false" ht="22.35" hidden="false" customHeight="false" outlineLevel="0" collapsed="false">
      <c r="B14" s="5" t="s">
        <v>125</v>
      </c>
      <c r="C14" s="15" t="n">
        <f aca="false">C11/MIN($C$11:$F$11)-1</f>
        <v>0.21013986013986</v>
      </c>
      <c r="D14" s="15" t="n">
        <f aca="false">D11/MIN($C$11:$F$11)-1</f>
        <v>0.0937272727272727</v>
      </c>
      <c r="E14" s="15" t="n">
        <f aca="false">E11/MIN($C$11:$F$11)-1</f>
        <v>0.0278321678321678</v>
      </c>
      <c r="F14" s="15" t="n">
        <f aca="false">F11/MIN($C$11:$F$11)-1</f>
        <v>0</v>
      </c>
      <c r="G14" s="15" t="n">
        <f aca="false">G11/MIN($C$11:$F$11)-1</f>
        <v>-0.509500235804196</v>
      </c>
      <c r="H14" s="16"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6" min="2" style="0" width="16"/>
    <col collapsed="false" customWidth="true" hidden="false" outlineLevel="0" max="7" min="7" style="0" width="60"/>
  </cols>
  <sheetData>
    <row r="1" customFormat="false" ht="17.35" hidden="false" customHeight="false" outlineLevel="0" collapsed="false">
      <c r="A1" s="1" t="s">
        <v>127</v>
      </c>
    </row>
    <row r="2" customFormat="false" ht="15" hidden="false" customHeight="false" outlineLevel="0" collapsed="false">
      <c r="A2" s="2" t="s">
        <v>128</v>
      </c>
    </row>
    <row r="4" customFormat="false" ht="15" hidden="false" customHeight="false" outlineLevel="0" collapsed="false">
      <c r="A4" s="18" t="s">
        <v>129</v>
      </c>
      <c r="B4" s="42" t="n">
        <v>46234</v>
      </c>
      <c r="C4" s="3" t="s">
        <v>130</v>
      </c>
    </row>
    <row r="6" customFormat="false" ht="39.75" hidden="false" customHeight="true" outlineLevel="0" collapsed="false">
      <c r="A6" s="4" t="s">
        <v>131</v>
      </c>
      <c r="B6" s="4" t="s">
        <v>3</v>
      </c>
      <c r="C6" s="4" t="s">
        <v>4</v>
      </c>
      <c r="D6" s="4" t="s">
        <v>5</v>
      </c>
      <c r="E6" s="4" t="s">
        <v>6</v>
      </c>
      <c r="F6" s="4" t="s">
        <v>7</v>
      </c>
      <c r="G6" s="4" t="s">
        <v>97</v>
      </c>
    </row>
    <row r="7" customFormat="false" ht="42" hidden="false" customHeight="true" outlineLevel="0" collapsed="false">
      <c r="A7" s="20" t="s">
        <v>132</v>
      </c>
      <c r="B7" s="43" t="s">
        <v>133</v>
      </c>
      <c r="C7" s="43" t="s">
        <v>133</v>
      </c>
      <c r="D7" s="43" t="s">
        <v>133</v>
      </c>
      <c r="E7" s="43" t="s">
        <v>133</v>
      </c>
      <c r="F7" s="44" t="s">
        <v>134</v>
      </c>
      <c r="G7" s="16" t="s">
        <v>135</v>
      </c>
    </row>
    <row r="8" customFormat="false" ht="42" hidden="false" customHeight="true" outlineLevel="0" collapsed="false">
      <c r="A8" s="20" t="s">
        <v>136</v>
      </c>
      <c r="B8" s="43" t="s">
        <v>133</v>
      </c>
      <c r="C8" s="43" t="s">
        <v>133</v>
      </c>
      <c r="D8" s="43" t="s">
        <v>133</v>
      </c>
      <c r="E8" s="44" t="s">
        <v>134</v>
      </c>
      <c r="F8" s="44" t="s">
        <v>137</v>
      </c>
      <c r="G8" s="16" t="s">
        <v>138</v>
      </c>
    </row>
    <row r="9" customFormat="false" ht="42" hidden="false" customHeight="true" outlineLevel="0" collapsed="false">
      <c r="A9" s="20" t="s">
        <v>139</v>
      </c>
      <c r="B9" s="44" t="s">
        <v>134</v>
      </c>
      <c r="C9" s="43" t="s">
        <v>133</v>
      </c>
      <c r="D9" s="43" t="s">
        <v>133</v>
      </c>
      <c r="E9" s="43" t="s">
        <v>133</v>
      </c>
      <c r="F9" s="43" t="s">
        <v>133</v>
      </c>
      <c r="G9" s="16" t="s">
        <v>140</v>
      </c>
    </row>
    <row r="10" customFormat="false" ht="42" hidden="false" customHeight="true" outlineLevel="0" collapsed="false">
      <c r="A10" s="20" t="s">
        <v>141</v>
      </c>
      <c r="B10" s="43" t="s">
        <v>133</v>
      </c>
      <c r="C10" s="43" t="s">
        <v>133</v>
      </c>
      <c r="D10" s="43" t="s">
        <v>133</v>
      </c>
      <c r="E10" s="43" t="s">
        <v>133</v>
      </c>
      <c r="F10" s="44" t="s">
        <v>134</v>
      </c>
      <c r="G10" s="16" t="s">
        <v>142</v>
      </c>
    </row>
    <row r="11" customFormat="false" ht="42" hidden="false" customHeight="true" outlineLevel="0" collapsed="false">
      <c r="A11" s="20" t="s">
        <v>143</v>
      </c>
      <c r="B11" s="14" t="s">
        <v>144</v>
      </c>
      <c r="C11" s="43" t="s">
        <v>133</v>
      </c>
      <c r="D11" s="14" t="s">
        <v>144</v>
      </c>
      <c r="E11" s="14" t="s">
        <v>144</v>
      </c>
      <c r="F11" s="14" t="s">
        <v>144</v>
      </c>
      <c r="G11" s="16" t="s">
        <v>145</v>
      </c>
    </row>
    <row r="12" customFormat="false" ht="42" hidden="false" customHeight="true" outlineLevel="0" collapsed="false">
      <c r="A12" s="20" t="s">
        <v>146</v>
      </c>
      <c r="B12" s="14" t="s">
        <v>144</v>
      </c>
      <c r="C12" s="43" t="s">
        <v>133</v>
      </c>
      <c r="D12" s="14" t="s">
        <v>144</v>
      </c>
      <c r="E12" s="14" t="s">
        <v>144</v>
      </c>
      <c r="F12" s="43" t="s">
        <v>133</v>
      </c>
      <c r="G12" s="16" t="s">
        <v>147</v>
      </c>
    </row>
    <row r="13" customFormat="false" ht="42" hidden="false" customHeight="true" outlineLevel="0" collapsed="false">
      <c r="A13" s="20" t="s">
        <v>148</v>
      </c>
      <c r="B13" s="14" t="s">
        <v>144</v>
      </c>
      <c r="C13" s="43" t="s">
        <v>133</v>
      </c>
      <c r="D13" s="14" t="s">
        <v>144</v>
      </c>
      <c r="E13" s="14" t="s">
        <v>144</v>
      </c>
      <c r="F13" s="43" t="s">
        <v>133</v>
      </c>
      <c r="G13" s="16" t="s">
        <v>149</v>
      </c>
    </row>
    <row r="14" customFormat="false" ht="42" hidden="false" customHeight="true" outlineLevel="0" collapsed="false">
      <c r="A14" s="20" t="s">
        <v>150</v>
      </c>
      <c r="B14" s="14" t="s">
        <v>144</v>
      </c>
      <c r="C14" s="43" t="s">
        <v>133</v>
      </c>
      <c r="D14" s="14" t="s">
        <v>144</v>
      </c>
      <c r="E14" s="14" t="s">
        <v>144</v>
      </c>
      <c r="F14" s="43" t="s">
        <v>133</v>
      </c>
      <c r="G14" s="16" t="s">
        <v>151</v>
      </c>
    </row>
    <row r="15" customFormat="false" ht="42" hidden="false" customHeight="true" outlineLevel="0" collapsed="false">
      <c r="A15" s="20" t="s">
        <v>152</v>
      </c>
      <c r="B15" s="43" t="s">
        <v>133</v>
      </c>
      <c r="C15" s="43" t="s">
        <v>133</v>
      </c>
      <c r="D15" s="43" t="s">
        <v>133</v>
      </c>
      <c r="E15" s="43" t="s">
        <v>133</v>
      </c>
      <c r="F15" s="43" t="s">
        <v>133</v>
      </c>
      <c r="G15" s="16" t="s">
        <v>153</v>
      </c>
    </row>
    <row r="17" customFormat="false" ht="15" hidden="false" customHeight="false" outlineLevel="0" collapsed="false">
      <c r="A17" s="18" t="s">
        <v>154</v>
      </c>
    </row>
    <row r="18" customFormat="false" ht="15" hidden="false" customHeight="false" outlineLevel="0" collapsed="false">
      <c r="A18" s="34" t="s">
        <v>14</v>
      </c>
      <c r="B18" s="45" t="n">
        <v>46101</v>
      </c>
      <c r="C18" s="45" t="n">
        <v>46220</v>
      </c>
      <c r="D18" s="45" t="n">
        <v>46195</v>
      </c>
      <c r="E18" s="45" t="n">
        <v>46196</v>
      </c>
      <c r="F18" s="45" t="n">
        <v>46234</v>
      </c>
    </row>
    <row r="19" customFormat="false" ht="15" hidden="false" customHeight="false" outlineLevel="0" collapsed="false">
      <c r="A19" s="34" t="s">
        <v>155</v>
      </c>
      <c r="B19" s="46" t="n">
        <v>7</v>
      </c>
      <c r="C19" s="46" t="n">
        <v>21</v>
      </c>
      <c r="D19" s="46" t="n">
        <v>30</v>
      </c>
      <c r="E19" s="46" t="n">
        <v>30</v>
      </c>
      <c r="F19" s="46" t="n">
        <v>14</v>
      </c>
      <c r="G19" s="16" t="s">
        <v>156</v>
      </c>
    </row>
    <row r="20" customFormat="false" ht="15" hidden="false" customHeight="false" outlineLevel="0" collapsed="false">
      <c r="A20" s="34" t="s">
        <v>157</v>
      </c>
      <c r="B20" s="7" t="n">
        <f aca="false">B18+B19</f>
        <v>46108</v>
      </c>
      <c r="C20" s="7" t="n">
        <f aca="false">C18+C19</f>
        <v>46241</v>
      </c>
      <c r="D20" s="7" t="n">
        <f aca="false">D18+D19</f>
        <v>46225</v>
      </c>
      <c r="E20" s="7" t="n">
        <f aca="false">E18+E19</f>
        <v>46226</v>
      </c>
      <c r="F20" s="7" t="n">
        <f aca="false">F18+F19</f>
        <v>46248</v>
      </c>
    </row>
    <row r="21" customFormat="false" ht="15" hidden="false" customHeight="false" outlineLevel="0" collapsed="false">
      <c r="A21" s="34" t="s">
        <v>158</v>
      </c>
      <c r="B21" s="14" t="str">
        <f aca="false">IF(B20&gt;=$B$4,"Valid","EXPIRED")</f>
        <v>EXPIRED</v>
      </c>
      <c r="C21" s="14" t="str">
        <f aca="false">IF(C20&gt;=$B$4,"Valid","EXPIRED")</f>
        <v>Valid</v>
      </c>
      <c r="D21" s="14" t="str">
        <f aca="false">IF(D20&gt;=$B$4,"Valid","EXPIRED")</f>
        <v>EXPIRED</v>
      </c>
      <c r="E21" s="14" t="str">
        <f aca="false">IF(E20&gt;=$B$4,"Valid","EXPIRED")</f>
        <v>EXPIRED</v>
      </c>
      <c r="F21" s="14" t="str">
        <f aca="false">IF(F20&gt;=$B$4,"Valid","EXPIRED")</f>
        <v>Valid</v>
      </c>
      <c r="G21" s="16" t="s">
        <v>159</v>
      </c>
    </row>
    <row r="23" customFormat="false" ht="15" hidden="false" customHeight="false" outlineLevel="0" collapsed="false">
      <c r="A23" s="18" t="s">
        <v>160</v>
      </c>
    </row>
    <row r="24" customFormat="false" ht="30" hidden="false" customHeight="true" outlineLevel="0" collapsed="false">
      <c r="A24" s="11" t="s">
        <v>4</v>
      </c>
      <c r="B24" s="16" t="s">
        <v>161</v>
      </c>
      <c r="C24" s="16"/>
      <c r="D24" s="16"/>
      <c r="E24" s="16"/>
      <c r="F24" s="16"/>
      <c r="G24" s="16"/>
    </row>
    <row r="25" customFormat="false" ht="30" hidden="false" customHeight="true" outlineLevel="0" collapsed="false">
      <c r="A25" s="11" t="s">
        <v>3</v>
      </c>
      <c r="B25" s="16" t="s">
        <v>162</v>
      </c>
      <c r="C25" s="16"/>
      <c r="D25" s="16"/>
      <c r="E25" s="16"/>
      <c r="F25" s="16"/>
      <c r="G25" s="16"/>
    </row>
    <row r="26" customFormat="false" ht="30" hidden="false" customHeight="true" outlineLevel="0" collapsed="false">
      <c r="A26" s="11" t="s">
        <v>5</v>
      </c>
      <c r="B26" s="16" t="s">
        <v>163</v>
      </c>
      <c r="C26" s="16"/>
      <c r="D26" s="16"/>
      <c r="E26" s="16"/>
      <c r="F26" s="16"/>
      <c r="G26" s="16"/>
    </row>
    <row r="27" customFormat="false" ht="30" hidden="false" customHeight="true" outlineLevel="0" collapsed="false">
      <c r="A27" s="11" t="s">
        <v>6</v>
      </c>
      <c r="B27" s="16" t="s">
        <v>164</v>
      </c>
      <c r="C27" s="16"/>
      <c r="D27" s="16"/>
      <c r="E27" s="16"/>
      <c r="F27" s="16"/>
      <c r="G27" s="16"/>
    </row>
    <row r="28" customFormat="false" ht="30" hidden="false" customHeight="true" outlineLevel="0" collapsed="false">
      <c r="A28" s="11" t="s">
        <v>7</v>
      </c>
      <c r="B28" s="16" t="s">
        <v>165</v>
      </c>
      <c r="C28" s="16"/>
      <c r="D28" s="16"/>
      <c r="E28" s="16"/>
      <c r="F28" s="16"/>
      <c r="G28" s="16"/>
    </row>
  </sheetData>
  <mergeCells count="5">
    <mergeCell ref="B24:G24"/>
    <mergeCell ref="B25:G25"/>
    <mergeCell ref="B26:G26"/>
    <mergeCell ref="B27:G27"/>
    <mergeCell ref="B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12"/>
  </cols>
  <sheetData>
    <row r="1" customFormat="false" ht="17.35" hidden="false" customHeight="false" outlineLevel="0" collapsed="false">
      <c r="A1" s="1" t="s">
        <v>166</v>
      </c>
    </row>
    <row r="2" customFormat="false" ht="15" hidden="false" customHeight="false" outlineLevel="0" collapsed="false">
      <c r="A2" s="2" t="s">
        <v>167</v>
      </c>
    </row>
    <row r="4" customFormat="false" ht="21.75" hidden="false" customHeight="true" outlineLevel="0" collapsed="false">
      <c r="A4" s="4" t="s">
        <v>168</v>
      </c>
      <c r="B4" s="4" t="s">
        <v>169</v>
      </c>
      <c r="C4" s="4" t="s">
        <v>170</v>
      </c>
    </row>
    <row r="5" customFormat="false" ht="39" hidden="false" customHeight="true" outlineLevel="0" collapsed="false">
      <c r="A5" s="8" t="n">
        <v>1</v>
      </c>
      <c r="B5" s="47" t="s">
        <v>171</v>
      </c>
      <c r="C5" s="6" t="s">
        <v>172</v>
      </c>
    </row>
    <row r="6" customFormat="false" ht="39" hidden="false" customHeight="true" outlineLevel="0" collapsed="false">
      <c r="A6" s="8" t="n">
        <v>2</v>
      </c>
      <c r="B6" s="47" t="s">
        <v>173</v>
      </c>
      <c r="C6" s="6" t="s">
        <v>174</v>
      </c>
    </row>
    <row r="7" customFormat="false" ht="30" hidden="false" customHeight="true" outlineLevel="0" collapsed="false">
      <c r="A7" s="8" t="n">
        <v>3</v>
      </c>
      <c r="B7" s="47" t="s">
        <v>175</v>
      </c>
      <c r="C7" s="6" t="s">
        <v>176</v>
      </c>
    </row>
    <row r="8" customFormat="false" ht="39" hidden="false" customHeight="true" outlineLevel="0" collapsed="false">
      <c r="A8" s="8" t="n">
        <v>4</v>
      </c>
      <c r="B8" s="47" t="s">
        <v>177</v>
      </c>
      <c r="C8" s="6" t="s">
        <v>178</v>
      </c>
    </row>
    <row r="9" customFormat="false" ht="30" hidden="false" customHeight="true" outlineLevel="0" collapsed="false">
      <c r="A9" s="8" t="n">
        <v>5</v>
      </c>
      <c r="B9" s="47" t="s">
        <v>19</v>
      </c>
      <c r="C9" s="6" t="s">
        <v>179</v>
      </c>
    </row>
    <row r="10" customFormat="false" ht="39" hidden="false" customHeight="true" outlineLevel="0" collapsed="false">
      <c r="A10" s="8" t="n">
        <v>6</v>
      </c>
      <c r="B10" s="48" t="s">
        <v>180</v>
      </c>
      <c r="C10" s="49" t="s">
        <v>181</v>
      </c>
    </row>
    <row r="11" customFormat="false" ht="30" hidden="false" customHeight="true" outlineLevel="0" collapsed="false">
      <c r="A11" s="8" t="n">
        <v>7</v>
      </c>
      <c r="B11" s="48" t="s">
        <v>182</v>
      </c>
      <c r="C11" s="49" t="s">
        <v>183</v>
      </c>
    </row>
    <row r="12" customFormat="false" ht="64.5" hidden="false" customHeight="true" outlineLevel="0" collapsed="false">
      <c r="A12" s="8" t="n">
        <v>8</v>
      </c>
      <c r="B12" s="47" t="s">
        <v>184</v>
      </c>
      <c r="C12" s="6" t="s">
        <v>185</v>
      </c>
    </row>
    <row r="13" customFormat="false" ht="30" hidden="false" customHeight="true" outlineLevel="0" collapsed="false">
      <c r="A13" s="8" t="n">
        <v>9</v>
      </c>
      <c r="B13" s="47" t="s">
        <v>186</v>
      </c>
      <c r="C13" s="6" t="s">
        <v>187</v>
      </c>
    </row>
    <row r="14" customFormat="false" ht="64.5" hidden="false" customHeight="true" outlineLevel="0" collapsed="false">
      <c r="A14" s="8" t="n">
        <v>10</v>
      </c>
      <c r="B14" s="47" t="s">
        <v>188</v>
      </c>
      <c r="C14" s="6" t="s">
        <v>189</v>
      </c>
    </row>
    <row r="15" customFormat="false" ht="64.5" hidden="false" customHeight="true" outlineLevel="0" collapsed="false">
      <c r="A15" s="8" t="n">
        <v>11</v>
      </c>
      <c r="B15" s="47" t="s">
        <v>190</v>
      </c>
      <c r="C15" s="6" t="s">
        <v>191</v>
      </c>
    </row>
    <row r="16" customFormat="false" ht="51.75" hidden="false" customHeight="true" outlineLevel="0" collapsed="false">
      <c r="A16" s="8" t="n">
        <v>12</v>
      </c>
      <c r="B16" s="47" t="s">
        <v>192</v>
      </c>
      <c r="C16" s="6" t="s">
        <v>193</v>
      </c>
    </row>
    <row r="17" customFormat="false" ht="51.75" hidden="false" customHeight="true" outlineLevel="0" collapsed="false">
      <c r="A17" s="8" t="n">
        <v>13</v>
      </c>
      <c r="B17" s="47" t="s">
        <v>194</v>
      </c>
      <c r="C17" s="6" t="s">
        <v>195</v>
      </c>
    </row>
    <row r="18" customFormat="false" ht="39" hidden="false" customHeight="true" outlineLevel="0" collapsed="false">
      <c r="A18" s="8" t="n">
        <v>14</v>
      </c>
      <c r="B18" s="47" t="s">
        <v>196</v>
      </c>
      <c r="C18" s="6" t="s">
        <v>197</v>
      </c>
    </row>
    <row r="19" customFormat="false" ht="30" hidden="false" customHeight="true" outlineLevel="0" collapsed="false">
      <c r="A19" s="8" t="n">
        <v>15</v>
      </c>
      <c r="B19" s="47" t="s">
        <v>198</v>
      </c>
      <c r="C19" s="6" t="s">
        <v>199</v>
      </c>
    </row>
    <row r="20" customFormat="false" ht="51.75" hidden="false" customHeight="true" outlineLevel="0" collapsed="false">
      <c r="A20" s="8" t="n">
        <v>16</v>
      </c>
      <c r="B20" s="47" t="s">
        <v>200</v>
      </c>
      <c r="C20" s="6" t="s">
        <v>201</v>
      </c>
    </row>
    <row r="21" customFormat="false" ht="39" hidden="false" customHeight="true" outlineLevel="0" collapsed="false">
      <c r="A21" s="8" t="n">
        <v>17</v>
      </c>
      <c r="B21" s="47" t="s">
        <v>202</v>
      </c>
      <c r="C21" s="6" t="s">
        <v>203</v>
      </c>
    </row>
    <row r="23" customFormat="false" ht="15" hidden="false" customHeight="false" outlineLevel="0" collapsed="false">
      <c r="A23" s="18" t="s">
        <v>204</v>
      </c>
    </row>
    <row r="24" customFormat="false" ht="15" hidden="false" customHeight="false" outlineLevel="0" collapsed="false">
      <c r="B24" s="50" t="s">
        <v>205</v>
      </c>
    </row>
    <row r="25" customFormat="false" ht="15" hidden="false" customHeight="false" outlineLevel="0" collapsed="false">
      <c r="B25" s="51" t="s">
        <v>206</v>
      </c>
    </row>
    <row r="26" customFormat="false" ht="15" hidden="false" customHeight="false" outlineLevel="0" collapsed="false">
      <c r="B26" s="52" t="s">
        <v>207</v>
      </c>
    </row>
    <row r="27" customFormat="false" ht="15" hidden="false" customHeight="false" outlineLevel="0" collapsed="false">
      <c r="B27" s="53"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2026-07-31T14:20:07Z</dcterms:created>
  <dc:creator>openpyxl</dc:creator>
  <dc:description/>
  <dc:language>en-US</dc:language>
  <cp:lastModifiedBy/>
  <dcterms:modified xsi:type="dcterms:W3CDTF">2026-07-31T14:20:07Z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